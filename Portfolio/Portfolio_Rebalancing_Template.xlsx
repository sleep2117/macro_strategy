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goe0200-my.sharepoint.com/personal/wngml0630_kwangsunge_goe_go_kr/Documents/macro_strategy/Portfolio/"/>
    </mc:Choice>
  </mc:AlternateContent>
  <xr:revisionPtr revIDLastSave="2" documentId="8_{E7CA5047-6985-401E-937B-ABE4E8E72C3E}" xr6:coauthVersionLast="47" xr6:coauthVersionMax="47" xr10:uidLastSave="{35341F8D-891C-4155-AB4A-7A7CE2837878}"/>
  <bookViews>
    <workbookView xWindow="-98" yWindow="-98" windowWidth="21795" windowHeight="12975" activeTab="1" xr2:uid="{00000000-000D-0000-FFFF-FFFF00000000}"/>
  </bookViews>
  <sheets>
    <sheet name="Price_Data" sheetId="1" r:id="rId1"/>
    <sheet name="Momentum_Calc" sheetId="2" r:id="rId2"/>
    <sheet name="Asset_Allocation" sheetId="3" r:id="rId3"/>
    <sheet name="Core_Allocation" sheetId="4" r:id="rId4"/>
    <sheet name="Bond_Allocation" sheetId="5" r:id="rId5"/>
    <sheet name="Satellite_Selection" sheetId="6" r:id="rId6"/>
    <sheet name="Rebalancing" sheetId="7" r:id="rId7"/>
    <sheet name="Performance" sheetId="8" r:id="rId8"/>
    <sheet name="Dashboard" sheetId="9" r:id="rId9"/>
  </sheets>
  <calcPr calcId="191029"/>
</workbook>
</file>

<file path=xl/calcChain.xml><?xml version="1.0" encoding="utf-8"?>
<calcChain xmlns="http://schemas.openxmlformats.org/spreadsheetml/2006/main">
  <c r="A26" i="9" l="1"/>
  <c r="A25" i="9"/>
  <c r="A24" i="9"/>
  <c r="A23" i="9"/>
  <c r="A22" i="9"/>
  <c r="A21" i="9"/>
  <c r="A20" i="9"/>
  <c r="A19" i="9"/>
  <c r="A18" i="9"/>
  <c r="B2" i="9"/>
  <c r="F5" i="8"/>
  <c r="E5" i="8"/>
  <c r="E14" i="7"/>
  <c r="B26" i="9" s="1"/>
  <c r="D14" i="7"/>
  <c r="D13" i="7"/>
  <c r="E13" i="7" s="1"/>
  <c r="E12" i="7"/>
  <c r="D12" i="7"/>
  <c r="D11" i="7"/>
  <c r="E11" i="7" s="1"/>
  <c r="E10" i="7"/>
  <c r="B22" i="9" s="1"/>
  <c r="D10" i="7"/>
  <c r="D9" i="7"/>
  <c r="E9" i="7" s="1"/>
  <c r="E8" i="7"/>
  <c r="B20" i="9" s="1"/>
  <c r="D8" i="7"/>
  <c r="D7" i="7"/>
  <c r="E7" i="7" s="1"/>
  <c r="D6" i="7"/>
  <c r="E6" i="7" s="1"/>
  <c r="B4" i="6"/>
  <c r="B3" i="6"/>
  <c r="B5" i="6" s="1"/>
  <c r="B3" i="5"/>
  <c r="B6" i="4"/>
  <c r="B4" i="4"/>
  <c r="B5" i="4" s="1"/>
  <c r="B7" i="4" s="1"/>
  <c r="B15" i="3"/>
  <c r="B6" i="6" s="1"/>
  <c r="B5" i="3"/>
  <c r="B4" i="5" s="1"/>
  <c r="B5" i="5" s="1"/>
  <c r="B21" i="2"/>
  <c r="C21" i="2" s="1"/>
  <c r="C12" i="6" s="1"/>
  <c r="B13" i="2"/>
  <c r="C13" i="2" s="1"/>
  <c r="B6" i="2"/>
  <c r="D6" i="2" s="1"/>
  <c r="E6" i="2" s="1"/>
  <c r="I11" i="1"/>
  <c r="H11" i="1"/>
  <c r="G11" i="1"/>
  <c r="I10" i="1"/>
  <c r="H10" i="1"/>
  <c r="B20" i="2" s="1"/>
  <c r="G10" i="1"/>
  <c r="I9" i="1"/>
  <c r="H9" i="1"/>
  <c r="B19" i="2" s="1"/>
  <c r="G9" i="1"/>
  <c r="I7" i="1"/>
  <c r="H7" i="1"/>
  <c r="B14" i="2" s="1"/>
  <c r="G7" i="1"/>
  <c r="I6" i="1"/>
  <c r="H6" i="1"/>
  <c r="G6" i="1"/>
  <c r="I5" i="1"/>
  <c r="H5" i="1"/>
  <c r="B8" i="2" s="1"/>
  <c r="G5" i="1"/>
  <c r="I4" i="1"/>
  <c r="H4" i="1"/>
  <c r="B7" i="2" s="1"/>
  <c r="G4" i="1"/>
  <c r="I3" i="1"/>
  <c r="H3" i="1"/>
  <c r="G3" i="1"/>
  <c r="I2" i="1"/>
  <c r="H2" i="1"/>
  <c r="B5" i="2" s="1"/>
  <c r="G2" i="1"/>
  <c r="F7" i="7" l="1"/>
  <c r="C19" i="9" s="1"/>
  <c r="B19" i="9"/>
  <c r="D5" i="2"/>
  <c r="E5" i="2" s="1"/>
  <c r="C5" i="2"/>
  <c r="D19" i="2"/>
  <c r="C19" i="2"/>
  <c r="C10" i="6" s="1"/>
  <c r="B10" i="6"/>
  <c r="D7" i="2"/>
  <c r="E7" i="2" s="1"/>
  <c r="C7" i="2"/>
  <c r="B10" i="9"/>
  <c r="E15" i="7"/>
  <c r="B18" i="9"/>
  <c r="F6" i="7"/>
  <c r="B13" i="9"/>
  <c r="B25" i="9"/>
  <c r="F13" i="7"/>
  <c r="C25" i="9" s="1"/>
  <c r="B14" i="9"/>
  <c r="B7" i="6"/>
  <c r="D20" i="2"/>
  <c r="C20" i="2"/>
  <c r="C11" i="6" s="1"/>
  <c r="B11" i="6"/>
  <c r="B21" i="9"/>
  <c r="F9" i="7"/>
  <c r="C21" i="9" s="1"/>
  <c r="F12" i="7"/>
  <c r="C24" i="9" s="1"/>
  <c r="D8" i="2"/>
  <c r="E8" i="2" s="1"/>
  <c r="F8" i="2" s="1"/>
  <c r="B13" i="4" s="1"/>
  <c r="C8" i="2"/>
  <c r="C13" i="4" s="1"/>
  <c r="D13" i="4" s="1"/>
  <c r="B11" i="9"/>
  <c r="F11" i="7"/>
  <c r="C23" i="9" s="1"/>
  <c r="B23" i="9"/>
  <c r="C14" i="2"/>
  <c r="D14" i="2"/>
  <c r="E14" i="2" s="1"/>
  <c r="F10" i="7"/>
  <c r="C22" i="9" s="1"/>
  <c r="C6" i="2"/>
  <c r="D21" i="2"/>
  <c r="B24" i="9"/>
  <c r="D13" i="2"/>
  <c r="E13" i="2" s="1"/>
  <c r="F13" i="2" s="1"/>
  <c r="B8" i="5" s="1"/>
  <c r="C8" i="5" s="1"/>
  <c r="D8" i="5" s="1"/>
  <c r="F8" i="7"/>
  <c r="C20" i="9" s="1"/>
  <c r="B12" i="6"/>
  <c r="F14" i="7"/>
  <c r="C26" i="9" s="1"/>
  <c r="I9" i="7" l="1"/>
  <c r="J9" i="7" s="1"/>
  <c r="K9" i="7" s="1"/>
  <c r="I10" i="7"/>
  <c r="J10" i="7" s="1"/>
  <c r="K10" i="7" s="1"/>
  <c r="B5" i="9"/>
  <c r="C13" i="9" s="1"/>
  <c r="B5" i="8"/>
  <c r="C10" i="9"/>
  <c r="C12" i="4"/>
  <c r="D12" i="4" s="1"/>
  <c r="F7" i="2"/>
  <c r="B12" i="4" s="1"/>
  <c r="C14" i="9"/>
  <c r="F5" i="2"/>
  <c r="B10" i="4" s="1"/>
  <c r="C10" i="4" s="1"/>
  <c r="F14" i="2"/>
  <c r="B9" i="5" s="1"/>
  <c r="C9" i="5" s="1"/>
  <c r="D9" i="5" s="1"/>
  <c r="C11" i="4"/>
  <c r="D11" i="4" s="1"/>
  <c r="F10" i="6"/>
  <c r="F11" i="6"/>
  <c r="C11" i="9"/>
  <c r="F6" i="2"/>
  <c r="B11" i="4" s="1"/>
  <c r="C18" i="9"/>
  <c r="F15" i="7"/>
  <c r="C14" i="4" l="1"/>
  <c r="D10" i="4"/>
  <c r="I13" i="7"/>
  <c r="J13" i="7" s="1"/>
  <c r="K13" i="7" s="1"/>
  <c r="I11" i="7"/>
  <c r="J11" i="7" s="1"/>
  <c r="K11" i="7" s="1"/>
  <c r="I12" i="7"/>
  <c r="J12" i="7" s="1"/>
  <c r="K12" i="7" s="1"/>
  <c r="I7" i="7"/>
  <c r="J7" i="7" s="1"/>
  <c r="K7" i="7" s="1"/>
  <c r="I8" i="7"/>
  <c r="J8" i="7" s="1"/>
  <c r="K8" i="7" s="1"/>
  <c r="D5" i="8"/>
  <c r="B7" i="9" s="1"/>
  <c r="C5" i="8"/>
  <c r="B6" i="9" s="1"/>
  <c r="C10" i="5"/>
  <c r="D10" i="5"/>
  <c r="I6" i="7" l="1"/>
  <c r="D14" i="4"/>
  <c r="J6" i="7" l="1"/>
  <c r="K6" i="7" s="1"/>
  <c r="K14" i="7"/>
  <c r="J14" i="7"/>
  <c r="E13" i="6"/>
  <c r="I14" i="7"/>
  <c r="I15" i="7"/>
  <c r="H10" i="7"/>
  <c r="H12" i="7"/>
  <c r="H8" i="7"/>
  <c r="H9" i="7"/>
  <c r="H14" i="7"/>
  <c r="F13" i="6"/>
  <c r="H13" i="7"/>
  <c r="H7" i="7"/>
  <c r="H6" i="7"/>
  <c r="E12" i="6"/>
  <c r="F12" i="6"/>
  <c r="H11" i="7"/>
</calcChain>
</file>

<file path=xl/sharedStrings.xml><?xml version="1.0" encoding="utf-8"?>
<sst xmlns="http://schemas.openxmlformats.org/spreadsheetml/2006/main" count="218" uniqueCount="124">
  <si>
    <t>Ticker</t>
  </si>
  <si>
    <t>자산명</t>
  </si>
  <si>
    <t>현재가</t>
  </si>
  <si>
    <t>3M 전 가격</t>
  </si>
  <si>
    <t>6M 전 가격</t>
  </si>
  <si>
    <t>12M 전 가격</t>
  </si>
  <si>
    <t>3M 수익률</t>
  </si>
  <si>
    <t>6M 수익률</t>
  </si>
  <si>
    <t>12M 수익률</t>
  </si>
  <si>
    <t>SPY</t>
  </si>
  <si>
    <t>S&amp;P500</t>
  </si>
  <si>
    <t>069500.KS</t>
  </si>
  <si>
    <t>KOSPI</t>
  </si>
  <si>
    <t>ASHR</t>
  </si>
  <si>
    <t>CSI300</t>
  </si>
  <si>
    <t>VGK</t>
  </si>
  <si>
    <t>Europe</t>
  </si>
  <si>
    <t>TLT</t>
  </si>
  <si>
    <t>미국채 20년</t>
  </si>
  <si>
    <t>148070.KS</t>
  </si>
  <si>
    <t>한국채 10년</t>
  </si>
  <si>
    <t>*** 새틀라이트 종목 ***</t>
  </si>
  <si>
    <t>AAPL</t>
  </si>
  <si>
    <t>Apple</t>
  </si>
  <si>
    <t>TSLA</t>
  </si>
  <si>
    <t>Tesla</t>
  </si>
  <si>
    <t>XOM</t>
  </si>
  <si>
    <t>Exxon</t>
  </si>
  <si>
    <t>모멘텀 계산</t>
  </si>
  <si>
    <t>1. 코어 인덱스 모멘텀</t>
  </si>
  <si>
    <t>자산</t>
  </si>
  <si>
    <t>절대모멘텀</t>
  </si>
  <si>
    <t>조정 수익률</t>
  </si>
  <si>
    <t>모멘텀 스코어</t>
  </si>
  <si>
    <t>추천 비중</t>
  </si>
  <si>
    <t>모멘텀 계수:</t>
  </si>
  <si>
    <t>2. 채권 모멘텀</t>
  </si>
  <si>
    <t>미국채</t>
  </si>
  <si>
    <t>한국채</t>
  </si>
  <si>
    <t>3. 새틀라이트 절대모멘텀</t>
  </si>
  <si>
    <t>종목</t>
  </si>
  <si>
    <t>판정</t>
  </si>
  <si>
    <t>자산 배분 결정</t>
  </si>
  <si>
    <t>1. 주식 vs 채권</t>
  </si>
  <si>
    <t>주식 비중 (%)</t>
  </si>
  <si>
    <t>← 입력 (50~80)</t>
  </si>
  <si>
    <t>채권 비중 (%)</t>
  </si>
  <si>
    <t>자동 계산</t>
  </si>
  <si>
    <t>판단 근거</t>
  </si>
  <si>
    <t>경기 전망</t>
  </si>
  <si>
    <t>확장</t>
  </si>
  <si>
    <t>금리 전망</t>
  </si>
  <si>
    <t>인하</t>
  </si>
  <si>
    <t>시장 모멘텀</t>
  </si>
  <si>
    <t>강세</t>
  </si>
  <si>
    <t>2. 코어 vs 새틀라이트 (주식 내)</t>
  </si>
  <si>
    <t>코어 비중 (%)</t>
  </si>
  <si>
    <t>← 입력 (50~100)</t>
  </si>
  <si>
    <t>새틀라이트 비중 (%)</t>
  </si>
  <si>
    <t>고확신 종목 수</t>
  </si>
  <si>
    <t>알파 기회</t>
  </si>
  <si>
    <t>보통</t>
  </si>
  <si>
    <t>코어 배분 계산</t>
  </si>
  <si>
    <t>총 자산</t>
  </si>
  <si>
    <t>주식 비중</t>
  </si>
  <si>
    <t>주식 금액</t>
  </si>
  <si>
    <t>코어 비중</t>
  </si>
  <si>
    <t>코어 총액</t>
  </si>
  <si>
    <t>국가별 배분</t>
  </si>
  <si>
    <t>투자 비중</t>
  </si>
  <si>
    <t>투자 금액</t>
  </si>
  <si>
    <t>합계</t>
  </si>
  <si>
    <t>채권 배분 계산</t>
  </si>
  <si>
    <t>채권 비중</t>
  </si>
  <si>
    <t>채권 총액</t>
  </si>
  <si>
    <t>채권별 배분</t>
  </si>
  <si>
    <t>새틀라이트 선정</t>
  </si>
  <si>
    <t>새틀라이트 비중</t>
  </si>
  <si>
    <t>새틀라이트 총액</t>
  </si>
  <si>
    <t>종목 선정</t>
  </si>
  <si>
    <t>6M 모멘텀</t>
  </si>
  <si>
    <t>확신도</t>
  </si>
  <si>
    <t>비중</t>
  </si>
  <si>
    <t>투자금액</t>
  </si>
  <si>
    <t>상</t>
  </si>
  <si>
    <t>리밸런싱 실행</t>
  </si>
  <si>
    <t>기준일</t>
  </si>
  <si>
    <t>2025-01-31</t>
  </si>
  <si>
    <t>현재 보유 현황</t>
  </si>
  <si>
    <t>보유 수량</t>
  </si>
  <si>
    <t>평가금액</t>
  </si>
  <si>
    <t>목표 비중</t>
  </si>
  <si>
    <t>목표 금액</t>
  </si>
  <si>
    <t>차이</t>
  </si>
  <si>
    <t>조치</t>
  </si>
  <si>
    <t>매매 주문서</t>
  </si>
  <si>
    <t>순서</t>
  </si>
  <si>
    <t>매매</t>
  </si>
  <si>
    <t>금액</t>
  </si>
  <si>
    <t>예상 수량</t>
  </si>
  <si>
    <t>비고</t>
  </si>
  <si>
    <t>성과 추적</t>
  </si>
  <si>
    <t>총자산</t>
  </si>
  <si>
    <t>월수익률</t>
  </si>
  <si>
    <t>누적수익률</t>
  </si>
  <si>
    <t>주식비중</t>
  </si>
  <si>
    <t>코어비중</t>
  </si>
  <si>
    <t>-</t>
  </si>
  <si>
    <t>0.0%</t>
  </si>
  <si>
    <t>70%</t>
  </si>
  <si>
    <t>2025-02-28</t>
  </si>
  <si>
    <t>Portfolio Dashboard</t>
  </si>
  <si>
    <t>업데이트:</t>
  </si>
  <si>
    <t>핵심 지표</t>
  </si>
  <si>
    <t>당월 수익률</t>
  </si>
  <si>
    <t>누적 수익률</t>
  </si>
  <si>
    <t>현재 자산 배분</t>
  </si>
  <si>
    <t>주식</t>
  </si>
  <si>
    <t>채권</t>
  </si>
  <si>
    <t>코어</t>
  </si>
  <si>
    <t>새틀라이트</t>
  </si>
  <si>
    <t>보유 자산 목록</t>
  </si>
  <si>
    <t>종목명</t>
  </si>
  <si>
    <t>수익률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</si>
</sst>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&quot;%&quot;"/>
    <numFmt numFmtId="177" formatCode="0.0000"/>
    <numFmt numFmtId="178" formatCode="0.0%"/>
    <numFmt numFmtId="179" formatCode="#,##0&quot; 원&quot;"/>
  </numFmts>
  <fonts count="8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11"/>
      <color rgb="FF0000FF"/>
      <name val="맑은 고딕"/>
      <family val="3"/>
      <charset val="129"/>
    </font>
    <font>
      <b/>
      <sz val="14"/>
      <name val="맑은 고딕"/>
      <family val="3"/>
      <charset val="129"/>
    </font>
    <font>
      <b/>
      <sz val="11"/>
      <name val="맑은 고딕"/>
      <family val="3"/>
      <charset val="129"/>
    </font>
    <font>
      <b/>
      <sz val="16"/>
      <name val="맑은 고딕"/>
      <family val="3"/>
      <charset val="129"/>
    </font>
    <font>
      <b/>
      <sz val="12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center"/>
    </xf>
    <xf numFmtId="4" fontId="2" fillId="0" borderId="0" xfId="0" applyNumberFormat="1" applyFont="1"/>
    <xf numFmtId="176" fontId="0" fillId="0" borderId="0" xfId="0" applyNumberFormat="1"/>
    <xf numFmtId="3" fontId="2" fillId="0" borderId="0" xfId="0" applyNumberFormat="1" applyFont="1"/>
    <xf numFmtId="0" fontId="1" fillId="0" borderId="0" xfId="0" applyFont="1"/>
    <xf numFmtId="0" fontId="3" fillId="0" borderId="0" xfId="0" applyFont="1"/>
    <xf numFmtId="0" fontId="4" fillId="0" borderId="0" xfId="0" applyFont="1"/>
    <xf numFmtId="0" fontId="2" fillId="3" borderId="0" xfId="0" applyFont="1" applyFill="1"/>
    <xf numFmtId="177" fontId="0" fillId="0" borderId="0" xfId="0" applyNumberFormat="1"/>
    <xf numFmtId="1" fontId="0" fillId="0" borderId="0" xfId="0" applyNumberForma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3" fontId="4" fillId="0" borderId="0" xfId="0" applyNumberFormat="1" applyFont="1"/>
    <xf numFmtId="178" fontId="2" fillId="3" borderId="0" xfId="0" applyNumberFormat="1" applyFont="1" applyFill="1"/>
    <xf numFmtId="4" fontId="0" fillId="0" borderId="0" xfId="0" applyNumberFormat="1"/>
    <xf numFmtId="178" fontId="4" fillId="0" borderId="0" xfId="0" applyNumberFormat="1" applyFont="1"/>
    <xf numFmtId="0" fontId="5" fillId="0" borderId="0" xfId="0" applyFont="1"/>
    <xf numFmtId="0" fontId="6" fillId="2" borderId="0" xfId="0" applyFont="1" applyFill="1"/>
    <xf numFmtId="179" fontId="1" fillId="0" borderId="0" xfId="0" applyNumberFormat="1" applyFont="1"/>
    <xf numFmtId="179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workbookViewId="0">
      <selection activeCell="D15" sqref="D15"/>
    </sheetView>
  </sheetViews>
  <sheetFormatPr defaultRowHeight="16.899999999999999" x14ac:dyDescent="0.6"/>
  <cols>
    <col min="1" max="1" width="12" customWidth="1"/>
    <col min="2" max="2" width="15" customWidth="1"/>
    <col min="3" max="9" width="12" customWidth="1"/>
  </cols>
  <sheetData>
    <row r="1" spans="1:9" x14ac:dyDescent="0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6">
      <c r="A2" t="s">
        <v>9</v>
      </c>
      <c r="B2" t="s">
        <v>10</v>
      </c>
      <c r="C2" s="2">
        <v>500</v>
      </c>
      <c r="D2" s="2">
        <v>485</v>
      </c>
      <c r="E2" s="2">
        <v>470</v>
      </c>
      <c r="F2" s="2">
        <v>450</v>
      </c>
      <c r="G2" s="3">
        <f t="shared" ref="G2:G11" si="0">(C2-D2)/D2*100</f>
        <v>3.0927835051546393</v>
      </c>
      <c r="H2" s="3">
        <f t="shared" ref="H2:H11" si="1">(C2-E2)/E2*100</f>
        <v>6.3829787234042552</v>
      </c>
      <c r="I2" s="3">
        <f t="shared" ref="I2:I11" si="2">(C2-F2)/F2*100</f>
        <v>11.111111111111111</v>
      </c>
    </row>
    <row r="3" spans="1:9" x14ac:dyDescent="0.6">
      <c r="A3" t="s">
        <v>11</v>
      </c>
      <c r="B3" t="s">
        <v>12</v>
      </c>
      <c r="C3" s="2">
        <v>12500</v>
      </c>
      <c r="D3" s="2">
        <v>12000</v>
      </c>
      <c r="E3" s="2">
        <v>11800</v>
      </c>
      <c r="F3" s="2">
        <v>11000</v>
      </c>
      <c r="G3" s="3">
        <f t="shared" si="0"/>
        <v>4.1666666666666661</v>
      </c>
      <c r="H3" s="3">
        <f t="shared" si="1"/>
        <v>5.9322033898305087</v>
      </c>
      <c r="I3" s="3">
        <f t="shared" si="2"/>
        <v>13.636363636363635</v>
      </c>
    </row>
    <row r="4" spans="1:9" x14ac:dyDescent="0.6">
      <c r="A4" t="s">
        <v>13</v>
      </c>
      <c r="B4" t="s">
        <v>14</v>
      </c>
      <c r="C4" s="2">
        <v>28.5</v>
      </c>
      <c r="D4" s="2">
        <v>27</v>
      </c>
      <c r="E4" s="2">
        <v>25.5</v>
      </c>
      <c r="F4" s="2">
        <v>24</v>
      </c>
      <c r="G4" s="3">
        <f t="shared" si="0"/>
        <v>5.5555555555555554</v>
      </c>
      <c r="H4" s="3">
        <f t="shared" si="1"/>
        <v>11.76470588235294</v>
      </c>
      <c r="I4" s="3">
        <f t="shared" si="2"/>
        <v>18.75</v>
      </c>
    </row>
    <row r="5" spans="1:9" x14ac:dyDescent="0.6">
      <c r="A5" t="s">
        <v>15</v>
      </c>
      <c r="B5" t="s">
        <v>16</v>
      </c>
      <c r="C5" s="2">
        <v>65</v>
      </c>
      <c r="D5" s="2">
        <v>63</v>
      </c>
      <c r="E5" s="2">
        <v>61</v>
      </c>
      <c r="F5" s="2">
        <v>58</v>
      </c>
      <c r="G5" s="3">
        <f t="shared" si="0"/>
        <v>3.1746031746031744</v>
      </c>
      <c r="H5" s="3">
        <f t="shared" si="1"/>
        <v>6.557377049180328</v>
      </c>
      <c r="I5" s="3">
        <f t="shared" si="2"/>
        <v>12.068965517241379</v>
      </c>
    </row>
    <row r="6" spans="1:9" x14ac:dyDescent="0.6">
      <c r="A6" t="s">
        <v>17</v>
      </c>
      <c r="B6" t="s">
        <v>18</v>
      </c>
      <c r="C6" s="2">
        <v>95</v>
      </c>
      <c r="D6" s="2">
        <v>92</v>
      </c>
      <c r="E6" s="2">
        <v>90</v>
      </c>
      <c r="F6" s="2">
        <v>88</v>
      </c>
      <c r="G6" s="3">
        <f t="shared" si="0"/>
        <v>3.2608695652173911</v>
      </c>
      <c r="H6" s="3">
        <f t="shared" si="1"/>
        <v>5.5555555555555554</v>
      </c>
      <c r="I6" s="3">
        <f t="shared" si="2"/>
        <v>7.9545454545454541</v>
      </c>
    </row>
    <row r="7" spans="1:9" x14ac:dyDescent="0.6">
      <c r="A7" t="s">
        <v>19</v>
      </c>
      <c r="B7" t="s">
        <v>20</v>
      </c>
      <c r="C7" s="4">
        <v>102500</v>
      </c>
      <c r="D7" s="4">
        <v>101000</v>
      </c>
      <c r="E7" s="4">
        <v>100000</v>
      </c>
      <c r="F7" s="4">
        <v>98000</v>
      </c>
      <c r="G7" s="3">
        <f t="shared" si="0"/>
        <v>1.4851485148514851</v>
      </c>
      <c r="H7" s="3">
        <f t="shared" si="1"/>
        <v>2.5</v>
      </c>
      <c r="I7" s="3">
        <f t="shared" si="2"/>
        <v>4.591836734693878</v>
      </c>
    </row>
    <row r="8" spans="1:9" x14ac:dyDescent="0.6">
      <c r="A8" s="5" t="s">
        <v>21</v>
      </c>
      <c r="G8" s="3"/>
      <c r="H8" s="3"/>
      <c r="I8" s="3"/>
    </row>
    <row r="9" spans="1:9" x14ac:dyDescent="0.6">
      <c r="A9" t="s">
        <v>22</v>
      </c>
      <c r="B9" t="s">
        <v>23</v>
      </c>
      <c r="C9" s="2">
        <v>180</v>
      </c>
      <c r="D9" s="2">
        <v>175</v>
      </c>
      <c r="E9" s="2">
        <v>170</v>
      </c>
      <c r="F9" s="2">
        <v>160</v>
      </c>
      <c r="G9" s="3">
        <f t="shared" si="0"/>
        <v>2.8571428571428572</v>
      </c>
      <c r="H9" s="3">
        <f t="shared" si="1"/>
        <v>5.8823529411764701</v>
      </c>
      <c r="I9" s="3">
        <f t="shared" si="2"/>
        <v>12.5</v>
      </c>
    </row>
    <row r="10" spans="1:9" x14ac:dyDescent="0.6">
      <c r="A10" t="s">
        <v>24</v>
      </c>
      <c r="B10" t="s">
        <v>25</v>
      </c>
      <c r="C10" s="2">
        <v>250</v>
      </c>
      <c r="D10" s="2">
        <v>240</v>
      </c>
      <c r="E10" s="2">
        <v>230</v>
      </c>
      <c r="F10" s="2">
        <v>200</v>
      </c>
      <c r="G10" s="3">
        <f t="shared" si="0"/>
        <v>4.1666666666666661</v>
      </c>
      <c r="H10" s="3">
        <f t="shared" si="1"/>
        <v>8.695652173913043</v>
      </c>
      <c r="I10" s="3">
        <f t="shared" si="2"/>
        <v>25</v>
      </c>
    </row>
    <row r="11" spans="1:9" x14ac:dyDescent="0.6">
      <c r="A11" t="s">
        <v>26</v>
      </c>
      <c r="B11" t="s">
        <v>27</v>
      </c>
      <c r="C11" s="2">
        <v>110</v>
      </c>
      <c r="D11" s="2">
        <v>105</v>
      </c>
      <c r="E11" s="2">
        <v>100</v>
      </c>
      <c r="F11" s="2">
        <v>95</v>
      </c>
      <c r="G11" s="3">
        <f t="shared" si="0"/>
        <v>4.7619047619047619</v>
      </c>
      <c r="H11" s="3">
        <f t="shared" si="1"/>
        <v>10</v>
      </c>
      <c r="I11" s="3">
        <f t="shared" si="2"/>
        <v>15.789473684210526</v>
      </c>
    </row>
  </sheetData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"/>
  <sheetViews>
    <sheetView tabSelected="1" workbookViewId="0">
      <selection activeCell="G17" sqref="G17"/>
    </sheetView>
  </sheetViews>
  <sheetFormatPr defaultRowHeight="16.899999999999999" x14ac:dyDescent="0.6"/>
  <cols>
    <col min="1" max="6" width="14" customWidth="1"/>
  </cols>
  <sheetData>
    <row r="1" spans="1:11" ht="20.65" x14ac:dyDescent="0.7">
      <c r="A1" s="6" t="s">
        <v>28</v>
      </c>
    </row>
    <row r="3" spans="1:11" x14ac:dyDescent="0.6">
      <c r="A3" s="5" t="s">
        <v>29</v>
      </c>
    </row>
    <row r="4" spans="1:11" x14ac:dyDescent="0.6">
      <c r="A4" s="1" t="s">
        <v>30</v>
      </c>
      <c r="B4" s="1" t="s">
        <v>7</v>
      </c>
      <c r="C4" s="1" t="s">
        <v>31</v>
      </c>
      <c r="D4" s="1" t="s">
        <v>32</v>
      </c>
      <c r="E4" s="1" t="s">
        <v>33</v>
      </c>
      <c r="F4" s="1" t="s">
        <v>34</v>
      </c>
      <c r="J4" s="7" t="s">
        <v>35</v>
      </c>
      <c r="K4" s="8">
        <v>2</v>
      </c>
    </row>
    <row r="5" spans="1:11" x14ac:dyDescent="0.6">
      <c r="A5" t="s">
        <v>10</v>
      </c>
      <c r="B5" s="3">
        <f>Price_Data!H2</f>
        <v>6.3829787234042552</v>
      </c>
      <c r="C5" t="str">
        <f>IF(B5&gt;0,"🟢","🔴")</f>
        <v>🟢</v>
      </c>
      <c r="D5" s="3">
        <f>IF(B5&gt;0,B5,0)</f>
        <v>6.3829787234042552</v>
      </c>
      <c r="E5" s="9">
        <f>(1+D5/100)^$K$4</f>
        <v>1.1317338162064281</v>
      </c>
      <c r="F5" s="3">
        <f>E5/SUM($E$5:$E$8)*100</f>
        <v>24.398810893542162</v>
      </c>
    </row>
    <row r="6" spans="1:11" x14ac:dyDescent="0.6">
      <c r="A6" t="s">
        <v>12</v>
      </c>
      <c r="B6" s="3">
        <f>Price_Data!H3</f>
        <v>5.9322033898305087</v>
      </c>
      <c r="C6" t="str">
        <f>IF(B6&gt;0,"🟢","🔴")</f>
        <v>🟢</v>
      </c>
      <c r="D6" s="3">
        <f>IF(B6&gt;0,B6,0)</f>
        <v>5.9322033898305087</v>
      </c>
      <c r="E6" s="9">
        <f>(1+D6/100)^$K$4</f>
        <v>1.122163171502442</v>
      </c>
      <c r="F6" s="3">
        <f>E6/SUM($E$5:$E$8)*100</f>
        <v>24.192479380850802</v>
      </c>
    </row>
    <row r="7" spans="1:11" x14ac:dyDescent="0.6">
      <c r="A7" t="s">
        <v>14</v>
      </c>
      <c r="B7" s="3">
        <f>Price_Data!H4</f>
        <v>11.76470588235294</v>
      </c>
      <c r="C7" t="str">
        <f>IF(B7&gt;0,"🟢","🔴")</f>
        <v>🟢</v>
      </c>
      <c r="D7" s="3">
        <f>IF(B7&gt;0,B7,0)</f>
        <v>11.76470588235294</v>
      </c>
      <c r="E7" s="9">
        <f>(1+D7/100)^$K$4</f>
        <v>1.2491349480968859</v>
      </c>
      <c r="F7" s="3">
        <f>E7/SUM($E$5:$E$8)*100</f>
        <v>26.929837160199732</v>
      </c>
    </row>
    <row r="8" spans="1:11" x14ac:dyDescent="0.6">
      <c r="A8" t="s">
        <v>16</v>
      </c>
      <c r="B8" s="3">
        <f>Price_Data!H5</f>
        <v>6.557377049180328</v>
      </c>
      <c r="C8" t="str">
        <f>IF(B8&gt;0,"🟢","🔴")</f>
        <v>🟢</v>
      </c>
      <c r="D8" s="3">
        <f>IF(B8&gt;0,B8,0)</f>
        <v>6.557377049180328</v>
      </c>
      <c r="E8" s="9">
        <f>(1+D8/100)^$K$4</f>
        <v>1.1354474603601183</v>
      </c>
      <c r="F8" s="3">
        <f>E8/SUM($E$5:$E$8)*100</f>
        <v>24.478872565407297</v>
      </c>
    </row>
    <row r="11" spans="1:11" x14ac:dyDescent="0.6">
      <c r="A11" s="5" t="s">
        <v>36</v>
      </c>
    </row>
    <row r="12" spans="1:11" x14ac:dyDescent="0.6">
      <c r="A12" s="1" t="s">
        <v>30</v>
      </c>
      <c r="B12" s="1" t="s">
        <v>7</v>
      </c>
      <c r="C12" s="1" t="s">
        <v>31</v>
      </c>
      <c r="D12" s="1" t="s">
        <v>32</v>
      </c>
      <c r="E12" s="1" t="s">
        <v>33</v>
      </c>
      <c r="F12" s="1" t="s">
        <v>34</v>
      </c>
      <c r="J12" s="7" t="s">
        <v>35</v>
      </c>
      <c r="K12" s="8">
        <v>1.5</v>
      </c>
    </row>
    <row r="13" spans="1:11" x14ac:dyDescent="0.6">
      <c r="A13" t="s">
        <v>37</v>
      </c>
      <c r="B13" s="3">
        <f>Price_Data!H6</f>
        <v>5.5555555555555554</v>
      </c>
      <c r="C13" t="str">
        <f>IF(B13&gt;0,"🟢","🔴")</f>
        <v>🟢</v>
      </c>
      <c r="D13" s="3">
        <f>IF(B13&gt;0,B13,0)</f>
        <v>5.5555555555555554</v>
      </c>
      <c r="E13" s="9">
        <f>(1+D13/100)^$K$12</f>
        <v>1.0844802412630608</v>
      </c>
      <c r="F13" s="3">
        <f>E13/SUM($E$13:$E$14)*100</f>
        <v>51.101369643220742</v>
      </c>
    </row>
    <row r="14" spans="1:11" x14ac:dyDescent="0.6">
      <c r="A14" t="s">
        <v>38</v>
      </c>
      <c r="B14" s="3">
        <f>Price_Data!H7</f>
        <v>2.5</v>
      </c>
      <c r="C14" t="str">
        <f>IF(B14&gt;0,"🟢","🔴")</f>
        <v>🟢</v>
      </c>
      <c r="D14" s="3">
        <f>IF(B14&gt;0,B14,0)</f>
        <v>2.5</v>
      </c>
      <c r="E14" s="9">
        <f>(1+D14/100)^$K$12</f>
        <v>1.0377334074799749</v>
      </c>
      <c r="F14" s="3">
        <f>E14/SUM($E$13:$E$14)*100</f>
        <v>48.898630356779265</v>
      </c>
    </row>
    <row r="17" spans="1:4" x14ac:dyDescent="0.6">
      <c r="A17" s="5" t="s">
        <v>39</v>
      </c>
    </row>
    <row r="18" spans="1:4" x14ac:dyDescent="0.6">
      <c r="A18" s="1" t="s">
        <v>40</v>
      </c>
      <c r="B18" s="1" t="s">
        <v>7</v>
      </c>
      <c r="C18" s="1" t="s">
        <v>31</v>
      </c>
      <c r="D18" s="1" t="s">
        <v>41</v>
      </c>
    </row>
    <row r="19" spans="1:4" x14ac:dyDescent="0.6">
      <c r="A19" t="s">
        <v>23</v>
      </c>
      <c r="B19" s="3">
        <f>Price_Data!H9</f>
        <v>5.8823529411764701</v>
      </c>
      <c r="C19" t="str">
        <f>IF(B19&gt;0,"🟢","🔴")</f>
        <v>🟢</v>
      </c>
      <c r="D19" t="str">
        <f>IF(B19&gt;0,"🟢 보유","🔴 제외")</f>
        <v>🟢 보유</v>
      </c>
    </row>
    <row r="20" spans="1:4" x14ac:dyDescent="0.6">
      <c r="A20" t="s">
        <v>25</v>
      </c>
      <c r="B20" s="3">
        <f>Price_Data!H10</f>
        <v>8.695652173913043</v>
      </c>
      <c r="C20" t="str">
        <f>IF(B20&gt;0,"🟢","🔴")</f>
        <v>🟢</v>
      </c>
      <c r="D20" t="str">
        <f>IF(B20&gt;0,"🟢 보유","🔴 제외")</f>
        <v>🟢 보유</v>
      </c>
    </row>
    <row r="21" spans="1:4" x14ac:dyDescent="0.6">
      <c r="A21" t="s">
        <v>27</v>
      </c>
      <c r="B21" s="3">
        <f>Price_Data!H11</f>
        <v>10</v>
      </c>
      <c r="C21" t="str">
        <f>IF(B21&gt;0,"🟢","🔴")</f>
        <v>🟢</v>
      </c>
      <c r="D21" t="str">
        <f>IF(B21&gt;0,"🟢 보유","🔴 제외")</f>
        <v>🟢 보유</v>
      </c>
    </row>
  </sheetData>
  <phoneticPr fontId="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9"/>
  <sheetViews>
    <sheetView workbookViewId="0">
      <selection activeCell="B19" sqref="B19"/>
    </sheetView>
  </sheetViews>
  <sheetFormatPr defaultRowHeight="16.899999999999999" x14ac:dyDescent="0.6"/>
  <cols>
    <col min="1" max="1" width="20" customWidth="1"/>
    <col min="2" max="2" width="15" customWidth="1"/>
    <col min="3" max="3" width="20" customWidth="1"/>
  </cols>
  <sheetData>
    <row r="1" spans="1:3" ht="20.65" x14ac:dyDescent="0.7">
      <c r="A1" s="6" t="s">
        <v>42</v>
      </c>
    </row>
    <row r="3" spans="1:3" x14ac:dyDescent="0.6">
      <c r="A3" s="5" t="s">
        <v>43</v>
      </c>
    </row>
    <row r="4" spans="1:3" x14ac:dyDescent="0.6">
      <c r="A4" t="s">
        <v>44</v>
      </c>
      <c r="B4" s="8">
        <v>70</v>
      </c>
      <c r="C4" t="s">
        <v>45</v>
      </c>
    </row>
    <row r="5" spans="1:3" x14ac:dyDescent="0.6">
      <c r="A5" t="s">
        <v>46</v>
      </c>
      <c r="B5" s="10">
        <f>100-B4</f>
        <v>30</v>
      </c>
      <c r="C5" t="s">
        <v>47</v>
      </c>
    </row>
    <row r="7" spans="1:3" x14ac:dyDescent="0.6">
      <c r="A7" s="7" t="s">
        <v>48</v>
      </c>
    </row>
    <row r="8" spans="1:3" x14ac:dyDescent="0.6">
      <c r="A8" t="s">
        <v>49</v>
      </c>
      <c r="B8" s="11" t="s">
        <v>50</v>
      </c>
    </row>
    <row r="9" spans="1:3" x14ac:dyDescent="0.6">
      <c r="A9" t="s">
        <v>51</v>
      </c>
      <c r="B9" s="11" t="s">
        <v>52</v>
      </c>
    </row>
    <row r="10" spans="1:3" x14ac:dyDescent="0.6">
      <c r="A10" t="s">
        <v>53</v>
      </c>
      <c r="B10" s="11" t="s">
        <v>54</v>
      </c>
    </row>
    <row r="13" spans="1:3" x14ac:dyDescent="0.6">
      <c r="A13" s="5" t="s">
        <v>55</v>
      </c>
    </row>
    <row r="14" spans="1:3" x14ac:dyDescent="0.6">
      <c r="A14" t="s">
        <v>56</v>
      </c>
      <c r="B14" s="8">
        <v>50</v>
      </c>
      <c r="C14" t="s">
        <v>57</v>
      </c>
    </row>
    <row r="15" spans="1:3" x14ac:dyDescent="0.6">
      <c r="A15" t="s">
        <v>58</v>
      </c>
      <c r="B15" s="10">
        <f>100-B14</f>
        <v>50</v>
      </c>
      <c r="C15" t="s">
        <v>47</v>
      </c>
    </row>
    <row r="17" spans="1:2" x14ac:dyDescent="0.6">
      <c r="A17" s="7" t="s">
        <v>48</v>
      </c>
    </row>
    <row r="18" spans="1:2" x14ac:dyDescent="0.6">
      <c r="A18" t="s">
        <v>59</v>
      </c>
      <c r="B18" s="11">
        <v>2</v>
      </c>
    </row>
    <row r="19" spans="1:2" x14ac:dyDescent="0.6">
      <c r="A19" t="s">
        <v>60</v>
      </c>
      <c r="B19" s="11" t="s">
        <v>61</v>
      </c>
    </row>
  </sheetData>
  <phoneticPr fontId="7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4"/>
  <sheetViews>
    <sheetView workbookViewId="0">
      <selection activeCell="A9" sqref="A9"/>
    </sheetView>
  </sheetViews>
  <sheetFormatPr defaultRowHeight="16.899999999999999" x14ac:dyDescent="0.6"/>
  <cols>
    <col min="1" max="1" width="18" customWidth="1"/>
    <col min="2" max="4" width="14" customWidth="1"/>
    <col min="5" max="5" width="12" customWidth="1"/>
  </cols>
  <sheetData>
    <row r="1" spans="1:5" ht="20.65" x14ac:dyDescent="0.7">
      <c r="A1" s="6" t="s">
        <v>62</v>
      </c>
    </row>
    <row r="3" spans="1:5" x14ac:dyDescent="0.6">
      <c r="A3" t="s">
        <v>63</v>
      </c>
      <c r="B3" s="4">
        <v>30000000</v>
      </c>
    </row>
    <row r="4" spans="1:5" x14ac:dyDescent="0.6">
      <c r="A4" t="s">
        <v>64</v>
      </c>
      <c r="B4" s="12">
        <f>Asset_Allocation!B4/100</f>
        <v>0.7</v>
      </c>
    </row>
    <row r="5" spans="1:5" x14ac:dyDescent="0.6">
      <c r="A5" t="s">
        <v>65</v>
      </c>
      <c r="B5" s="13">
        <f>B3*B4</f>
        <v>21000000</v>
      </c>
    </row>
    <row r="6" spans="1:5" x14ac:dyDescent="0.6">
      <c r="A6" t="s">
        <v>66</v>
      </c>
      <c r="B6" s="12">
        <f>Asset_Allocation!B14/100</f>
        <v>0.5</v>
      </c>
    </row>
    <row r="7" spans="1:5" x14ac:dyDescent="0.6">
      <c r="A7" t="s">
        <v>67</v>
      </c>
      <c r="B7" s="14">
        <f>B5*B6</f>
        <v>10500000</v>
      </c>
    </row>
    <row r="9" spans="1:5" x14ac:dyDescent="0.6">
      <c r="A9" s="1" t="s">
        <v>68</v>
      </c>
      <c r="B9" s="1" t="s">
        <v>34</v>
      </c>
      <c r="C9" s="1" t="s">
        <v>69</v>
      </c>
      <c r="D9" s="1" t="s">
        <v>70</v>
      </c>
      <c r="E9" s="1" t="s">
        <v>0</v>
      </c>
    </row>
    <row r="10" spans="1:5" x14ac:dyDescent="0.6">
      <c r="A10" t="s">
        <v>10</v>
      </c>
      <c r="B10" s="12">
        <f>Momentum_Calc!F5/100</f>
        <v>0.24398810893542161</v>
      </c>
      <c r="C10" s="12">
        <f>IF(Momentum_Calc!C5="🟢",B10,0)</f>
        <v>0.24398810893542161</v>
      </c>
      <c r="D10" s="13">
        <f>$B$7*C10</f>
        <v>2561875.1438219268</v>
      </c>
      <c r="E10" t="s">
        <v>9</v>
      </c>
    </row>
    <row r="11" spans="1:5" x14ac:dyDescent="0.6">
      <c r="A11" t="s">
        <v>12</v>
      </c>
      <c r="B11" s="12">
        <f>Momentum_Calc!F6/100</f>
        <v>0.24192479380850801</v>
      </c>
      <c r="C11" s="12">
        <f>IF(Momentum_Calc!C6="🟢",B11,0)</f>
        <v>0.24192479380850801</v>
      </c>
      <c r="D11" s="13">
        <f>$B$7*C11</f>
        <v>2540210.334989334</v>
      </c>
      <c r="E11" t="s">
        <v>11</v>
      </c>
    </row>
    <row r="12" spans="1:5" x14ac:dyDescent="0.6">
      <c r="A12" t="s">
        <v>14</v>
      </c>
      <c r="B12" s="12">
        <f>Momentum_Calc!F7/100</f>
        <v>0.26929837160199732</v>
      </c>
      <c r="C12" s="12">
        <f>IF(Momentum_Calc!C7="🟢",B12,0)</f>
        <v>0.26929837160199732</v>
      </c>
      <c r="D12" s="13">
        <f>$B$7*C12</f>
        <v>2827632.9018209721</v>
      </c>
      <c r="E12" t="s">
        <v>13</v>
      </c>
    </row>
    <row r="13" spans="1:5" x14ac:dyDescent="0.6">
      <c r="A13" t="s">
        <v>16</v>
      </c>
      <c r="B13" s="12">
        <f>Momentum_Calc!F8/100</f>
        <v>0.24478872565407298</v>
      </c>
      <c r="C13" s="12">
        <f>IF(Momentum_Calc!C8="🟢",B13,0)</f>
        <v>0.24478872565407298</v>
      </c>
      <c r="D13" s="13">
        <f>$B$7*C13</f>
        <v>2570281.6193677662</v>
      </c>
      <c r="E13" t="s">
        <v>15</v>
      </c>
    </row>
    <row r="14" spans="1:5" x14ac:dyDescent="0.6">
      <c r="A14" s="7" t="s">
        <v>71</v>
      </c>
      <c r="C14" s="12">
        <f>SUM(C10:C13)</f>
        <v>0.99999999999999989</v>
      </c>
      <c r="D14" s="14">
        <f>SUM(D10:D13)</f>
        <v>10500000</v>
      </c>
    </row>
  </sheetData>
  <phoneticPr fontId="7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"/>
  <sheetViews>
    <sheetView workbookViewId="0">
      <selection activeCell="B3" sqref="B3"/>
    </sheetView>
  </sheetViews>
  <sheetFormatPr defaultRowHeight="16.899999999999999" x14ac:dyDescent="0.6"/>
  <cols>
    <col min="1" max="1" width="18" customWidth="1"/>
    <col min="2" max="4" width="14" customWidth="1"/>
    <col min="5" max="5" width="12" customWidth="1"/>
  </cols>
  <sheetData>
    <row r="1" spans="1:5" ht="20.65" x14ac:dyDescent="0.7">
      <c r="A1" s="6" t="s">
        <v>72</v>
      </c>
    </row>
    <row r="3" spans="1:5" x14ac:dyDescent="0.6">
      <c r="A3" t="s">
        <v>63</v>
      </c>
      <c r="B3" s="13">
        <f>Core_Allocation!B3</f>
        <v>30000000</v>
      </c>
    </row>
    <row r="4" spans="1:5" x14ac:dyDescent="0.6">
      <c r="A4" t="s">
        <v>73</v>
      </c>
      <c r="B4" s="12">
        <f>Asset_Allocation!B5/100</f>
        <v>0.3</v>
      </c>
    </row>
    <row r="5" spans="1:5" x14ac:dyDescent="0.6">
      <c r="A5" t="s">
        <v>74</v>
      </c>
      <c r="B5" s="14">
        <f>B3*B4</f>
        <v>9000000</v>
      </c>
    </row>
    <row r="7" spans="1:5" x14ac:dyDescent="0.6">
      <c r="A7" s="1" t="s">
        <v>75</v>
      </c>
      <c r="B7" s="1" t="s">
        <v>34</v>
      </c>
      <c r="C7" s="1" t="s">
        <v>69</v>
      </c>
      <c r="D7" s="1" t="s">
        <v>70</v>
      </c>
      <c r="E7" s="1" t="s">
        <v>0</v>
      </c>
    </row>
    <row r="8" spans="1:5" x14ac:dyDescent="0.6">
      <c r="A8" t="s">
        <v>37</v>
      </c>
      <c r="B8" s="12">
        <f>Momentum_Calc!F13/100</f>
        <v>0.5110136964322074</v>
      </c>
      <c r="C8" s="12">
        <f>B8</f>
        <v>0.5110136964322074</v>
      </c>
      <c r="D8" s="13">
        <f>$B$5*C8</f>
        <v>4599123.2678898666</v>
      </c>
      <c r="E8" t="s">
        <v>17</v>
      </c>
    </row>
    <row r="9" spans="1:5" x14ac:dyDescent="0.6">
      <c r="A9" t="s">
        <v>38</v>
      </c>
      <c r="B9" s="12">
        <f>Momentum_Calc!F14/100</f>
        <v>0.48898630356779266</v>
      </c>
      <c r="C9" s="12">
        <f>B9</f>
        <v>0.48898630356779266</v>
      </c>
      <c r="D9" s="13">
        <f>$B$5*C9</f>
        <v>4400876.7321101343</v>
      </c>
      <c r="E9" t="s">
        <v>19</v>
      </c>
    </row>
    <row r="10" spans="1:5" x14ac:dyDescent="0.6">
      <c r="A10" s="7" t="s">
        <v>71</v>
      </c>
      <c r="C10" s="12">
        <f>SUM(C8:C9)</f>
        <v>1</v>
      </c>
      <c r="D10" s="14">
        <f>SUM(D8:D9)</f>
        <v>9000000</v>
      </c>
    </row>
  </sheetData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3"/>
  <sheetViews>
    <sheetView workbookViewId="0"/>
  </sheetViews>
  <sheetFormatPr defaultRowHeight="16.899999999999999" x14ac:dyDescent="0.6"/>
  <cols>
    <col min="1" max="1" width="16" customWidth="1"/>
    <col min="2" max="6" width="13" customWidth="1"/>
    <col min="7" max="7" width="10" customWidth="1"/>
  </cols>
  <sheetData>
    <row r="1" spans="1:7" ht="20.65" x14ac:dyDescent="0.7">
      <c r="A1" s="6" t="s">
        <v>76</v>
      </c>
    </row>
    <row r="3" spans="1:7" x14ac:dyDescent="0.6">
      <c r="A3" t="s">
        <v>63</v>
      </c>
      <c r="B3" s="13">
        <f>Core_Allocation!B3</f>
        <v>30000000</v>
      </c>
    </row>
    <row r="4" spans="1:7" x14ac:dyDescent="0.6">
      <c r="A4" t="s">
        <v>64</v>
      </c>
      <c r="B4" s="12">
        <f>Asset_Allocation!B4/100</f>
        <v>0.7</v>
      </c>
    </row>
    <row r="5" spans="1:7" x14ac:dyDescent="0.6">
      <c r="A5" t="s">
        <v>65</v>
      </c>
      <c r="B5" s="13">
        <f>B3*B4</f>
        <v>21000000</v>
      </c>
    </row>
    <row r="6" spans="1:7" x14ac:dyDescent="0.6">
      <c r="A6" t="s">
        <v>77</v>
      </c>
      <c r="B6" s="12">
        <f>Asset_Allocation!B15/100</f>
        <v>0.5</v>
      </c>
    </row>
    <row r="7" spans="1:7" x14ac:dyDescent="0.6">
      <c r="A7" t="s">
        <v>78</v>
      </c>
      <c r="B7" s="14">
        <f>B5*B6</f>
        <v>10500000</v>
      </c>
    </row>
    <row r="9" spans="1:7" x14ac:dyDescent="0.6">
      <c r="A9" s="1" t="s">
        <v>79</v>
      </c>
      <c r="B9" s="1" t="s">
        <v>80</v>
      </c>
      <c r="C9" s="1" t="s">
        <v>31</v>
      </c>
      <c r="D9" s="1" t="s">
        <v>81</v>
      </c>
      <c r="E9" s="1" t="s">
        <v>82</v>
      </c>
      <c r="F9" s="1" t="s">
        <v>83</v>
      </c>
      <c r="G9" s="1" t="s">
        <v>0</v>
      </c>
    </row>
    <row r="10" spans="1:7" x14ac:dyDescent="0.6">
      <c r="A10" t="s">
        <v>23</v>
      </c>
      <c r="B10" s="12">
        <f>Momentum_Calc!B19</f>
        <v>5.8823529411764701</v>
      </c>
      <c r="C10" t="str">
        <f>Momentum_Calc!C19</f>
        <v>🟢</v>
      </c>
      <c r="D10" s="11" t="s">
        <v>84</v>
      </c>
      <c r="E10" s="15">
        <v>0.33300000000000002</v>
      </c>
      <c r="F10" s="13">
        <f>$B$7*E10</f>
        <v>3496500</v>
      </c>
      <c r="G10" t="s">
        <v>22</v>
      </c>
    </row>
    <row r="11" spans="1:7" x14ac:dyDescent="0.6">
      <c r="A11" t="s">
        <v>25</v>
      </c>
      <c r="B11" s="12">
        <f>Momentum_Calc!B20</f>
        <v>8.695652173913043</v>
      </c>
      <c r="C11" t="str">
        <f>Momentum_Calc!C20</f>
        <v>🟢</v>
      </c>
      <c r="D11" s="11" t="s">
        <v>84</v>
      </c>
      <c r="E11" s="15">
        <v>0.33300000000000002</v>
      </c>
      <c r="F11" s="13">
        <f>$B$7*E11</f>
        <v>3496500</v>
      </c>
      <c r="G11" t="s">
        <v>24</v>
      </c>
    </row>
    <row r="12" spans="1:7" x14ac:dyDescent="0.6">
      <c r="A12" t="s">
        <v>27</v>
      </c>
      <c r="B12" s="12">
        <f>Momentum_Calc!B21</f>
        <v>10</v>
      </c>
      <c r="C12" t="str">
        <f>Momentum_Calc!C21</f>
        <v>🟢</v>
      </c>
      <c r="D12" s="11" t="s">
        <v>84</v>
      </c>
      <c r="E12" s="15" t="str">
        <f ca="1">E10+E11+E12-1</f>
        <v/>
      </c>
      <c r="F12" s="13" t="str">
        <f ca="1">$B$7*E12</f>
        <v/>
      </c>
      <c r="G12" t="s">
        <v>26</v>
      </c>
    </row>
    <row r="13" spans="1:7" x14ac:dyDescent="0.6">
      <c r="A13" s="7" t="s">
        <v>71</v>
      </c>
      <c r="E13" s="12" t="str">
        <f ca="1">SUM(E10:E12)</f>
        <v/>
      </c>
      <c r="F13" s="14" t="str">
        <f ca="1">SUM(F10:F12)</f>
        <v/>
      </c>
    </row>
  </sheetData>
  <phoneticPr fontId="7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9"/>
  <sheetViews>
    <sheetView workbookViewId="0">
      <selection activeCell="H10" sqref="H10"/>
    </sheetView>
  </sheetViews>
  <sheetFormatPr defaultRowHeight="16.899999999999999" x14ac:dyDescent="0.6"/>
  <cols>
    <col min="1" max="2" width="12" customWidth="1"/>
    <col min="3" max="3" width="10" customWidth="1"/>
    <col min="4" max="5" width="12" customWidth="1"/>
    <col min="6" max="6" width="10" customWidth="1"/>
    <col min="8" max="10" width="12" customWidth="1"/>
    <col min="11" max="11" width="18" customWidth="1"/>
  </cols>
  <sheetData>
    <row r="1" spans="1:11" ht="20.65" x14ac:dyDescent="0.7">
      <c r="A1" s="6" t="s">
        <v>85</v>
      </c>
    </row>
    <row r="2" spans="1:11" x14ac:dyDescent="0.6">
      <c r="A2" t="s">
        <v>86</v>
      </c>
      <c r="B2" s="11" t="s">
        <v>87</v>
      </c>
    </row>
    <row r="4" spans="1:11" x14ac:dyDescent="0.6">
      <c r="A4" s="5" t="s">
        <v>88</v>
      </c>
    </row>
    <row r="5" spans="1:11" x14ac:dyDescent="0.6">
      <c r="A5" s="1" t="s">
        <v>40</v>
      </c>
      <c r="B5" s="1" t="s">
        <v>0</v>
      </c>
      <c r="C5" s="1" t="s">
        <v>89</v>
      </c>
      <c r="D5" s="1" t="s">
        <v>2</v>
      </c>
      <c r="E5" s="1" t="s">
        <v>90</v>
      </c>
      <c r="F5" s="1" t="s">
        <v>82</v>
      </c>
      <c r="G5" s="1"/>
      <c r="H5" s="1" t="s">
        <v>91</v>
      </c>
      <c r="I5" s="1" t="s">
        <v>92</v>
      </c>
      <c r="J5" s="1" t="s">
        <v>93</v>
      </c>
      <c r="K5" s="1" t="s">
        <v>94</v>
      </c>
    </row>
    <row r="6" spans="1:11" x14ac:dyDescent="0.6">
      <c r="A6" t="s">
        <v>10</v>
      </c>
      <c r="B6" t="s">
        <v>9</v>
      </c>
      <c r="C6" s="11">
        <v>10</v>
      </c>
      <c r="D6" s="16">
        <f>Price_Data!C2</f>
        <v>500</v>
      </c>
      <c r="E6" s="13">
        <f t="shared" ref="E6:E14" si="0">C6*D6</f>
        <v>5000</v>
      </c>
      <c r="F6" s="12">
        <f t="shared" ref="F6:F14" si="1">E6/SUM($E$6:$E$14)</f>
        <v>5.2478287108708767E-4</v>
      </c>
      <c r="H6" s="12" t="str">
        <f ca="1">Core_Allocation!D10/SUM(Core_Allocation!D10,Core_Allocation!D11,Core_Allocation!D12,Core_Allocation!D13,Bond_Allocation!D8,Bond_Allocation!D9,Satellite_Selection!F10,Satellite_Selection!F11,Satellite_Selection!F12)</f>
        <v/>
      </c>
      <c r="I6" s="13">
        <f>Core_Allocation!D10</f>
        <v>2561875.1438219268</v>
      </c>
      <c r="J6" s="13">
        <f t="shared" ref="J6:J14" si="2">I6-E6</f>
        <v>2556875.1438219268</v>
      </c>
      <c r="K6" t="str">
        <f t="shared" ref="K6:K14" si="3">IF(J6&gt;50000,"매수 ₩"&amp;TEXT(J6,"#,##0"),IF(J6&lt;-50000,"매도 ₩"&amp;TEXT(ABS(J6),"#,##0"),"유지"))</f>
        <v>매수 ₩2,556,875</v>
      </c>
    </row>
    <row r="7" spans="1:11" x14ac:dyDescent="0.6">
      <c r="A7" t="s">
        <v>12</v>
      </c>
      <c r="B7" t="s">
        <v>11</v>
      </c>
      <c r="C7" s="11">
        <v>350</v>
      </c>
      <c r="D7" s="16">
        <f>Price_Data!C3</f>
        <v>12500</v>
      </c>
      <c r="E7" s="13">
        <f t="shared" si="0"/>
        <v>4375000</v>
      </c>
      <c r="F7" s="12">
        <f t="shared" si="1"/>
        <v>0.45918501220120173</v>
      </c>
      <c r="H7" s="12" t="str">
        <f ca="1">Core_Allocation!D11/SUM(Core_Allocation!D10,Core_Allocation!D11,Core_Allocation!D12,Core_Allocation!D13,Bond_Allocation!D8,Bond_Allocation!D9,Satellite_Selection!F10,Satellite_Selection!F11,Satellite_Selection!F12)</f>
        <v/>
      </c>
      <c r="I7" s="13">
        <f>Core_Allocation!D11</f>
        <v>2540210.334989334</v>
      </c>
      <c r="J7" s="13">
        <f t="shared" si="2"/>
        <v>-1834789.665010666</v>
      </c>
      <c r="K7" t="str">
        <f t="shared" si="3"/>
        <v>매도 ₩1,834,790</v>
      </c>
    </row>
    <row r="8" spans="1:11" x14ac:dyDescent="0.6">
      <c r="A8" t="s">
        <v>14</v>
      </c>
      <c r="B8" t="s">
        <v>13</v>
      </c>
      <c r="C8" s="11">
        <v>100</v>
      </c>
      <c r="D8" s="16">
        <f>Price_Data!C4</f>
        <v>28.5</v>
      </c>
      <c r="E8" s="13">
        <f t="shared" si="0"/>
        <v>2850</v>
      </c>
      <c r="F8" s="12">
        <f t="shared" si="1"/>
        <v>2.9912623651964001E-4</v>
      </c>
      <c r="H8" s="12" t="str">
        <f ca="1">Core_Allocation!D12/SUM(Core_Allocation!D10,Core_Allocation!D11,Core_Allocation!D12,Core_Allocation!D13,Bond_Allocation!D8,Bond_Allocation!D9,Satellite_Selection!F10,Satellite_Selection!F11,Satellite_Selection!F12)</f>
        <v/>
      </c>
      <c r="I8" s="13">
        <f>Core_Allocation!D12</f>
        <v>2827632.9018209721</v>
      </c>
      <c r="J8" s="13">
        <f t="shared" si="2"/>
        <v>2824782.9018209721</v>
      </c>
      <c r="K8" t="str">
        <f t="shared" si="3"/>
        <v>매수 ₩2,824,783</v>
      </c>
    </row>
    <row r="9" spans="1:11" x14ac:dyDescent="0.6">
      <c r="A9" t="s">
        <v>16</v>
      </c>
      <c r="B9" t="s">
        <v>15</v>
      </c>
      <c r="C9" s="11">
        <v>50</v>
      </c>
      <c r="D9" s="16">
        <f>Price_Data!C5</f>
        <v>65</v>
      </c>
      <c r="E9" s="13">
        <f t="shared" si="0"/>
        <v>3250</v>
      </c>
      <c r="F9" s="12">
        <f t="shared" si="1"/>
        <v>3.41108866206607E-4</v>
      </c>
      <c r="H9" s="12" t="str">
        <f ca="1">Core_Allocation!D13/SUM(Core_Allocation!D10,Core_Allocation!D11,Core_Allocation!D12,Core_Allocation!D13,Bond_Allocation!D8,Bond_Allocation!D9,Satellite_Selection!F10,Satellite_Selection!F11,Satellite_Selection!F12)</f>
        <v/>
      </c>
      <c r="I9" s="13">
        <f>Core_Allocation!D13</f>
        <v>2570281.6193677662</v>
      </c>
      <c r="J9" s="13">
        <f t="shared" si="2"/>
        <v>2567031.6193677662</v>
      </c>
      <c r="K9" t="str">
        <f t="shared" si="3"/>
        <v>매수 ₩2,567,032</v>
      </c>
    </row>
    <row r="10" spans="1:11" x14ac:dyDescent="0.6">
      <c r="A10" t="s">
        <v>37</v>
      </c>
      <c r="B10" t="s">
        <v>17</v>
      </c>
      <c r="C10" s="11">
        <v>50</v>
      </c>
      <c r="D10" s="16">
        <f>Price_Data!C6</f>
        <v>95</v>
      </c>
      <c r="E10" s="13">
        <f t="shared" si="0"/>
        <v>4750</v>
      </c>
      <c r="F10" s="12">
        <f t="shared" si="1"/>
        <v>4.9854372753273333E-4</v>
      </c>
      <c r="H10" s="12" t="str">
        <f ca="1">Bond_Allocation!D8/SUM(Core_Allocation!D10,Core_Allocation!D11,Core_Allocation!D12,Core_Allocation!D13,Bond_Allocation!D8,Bond_Allocation!D9,Satellite_Selection!F10,Satellite_Selection!F11,Satellite_Selection!F12)</f>
        <v/>
      </c>
      <c r="I10" s="13">
        <f>Bond_Allocation!D8</f>
        <v>4599123.2678898666</v>
      </c>
      <c r="J10" s="13">
        <f t="shared" si="2"/>
        <v>4594373.2678898666</v>
      </c>
      <c r="K10" t="str">
        <f t="shared" si="3"/>
        <v>매수 ₩4,594,373</v>
      </c>
    </row>
    <row r="11" spans="1:11" x14ac:dyDescent="0.6">
      <c r="A11" t="s">
        <v>38</v>
      </c>
      <c r="B11" t="s">
        <v>19</v>
      </c>
      <c r="C11" s="11">
        <v>50</v>
      </c>
      <c r="D11" s="16">
        <f>Price_Data!C7</f>
        <v>102500</v>
      </c>
      <c r="E11" s="13">
        <f t="shared" si="0"/>
        <v>5125000</v>
      </c>
      <c r="F11" s="12">
        <f t="shared" si="1"/>
        <v>0.53790244286426492</v>
      </c>
      <c r="H11" s="12" t="str">
        <f ca="1">Bond_Allocation!D9/SUM(Core_Allocation!D10,Core_Allocation!D11,Core_Allocation!D12,Core_Allocation!D13,Bond_Allocation!D8,Bond_Allocation!D9,Satellite_Selection!F10,Satellite_Selection!F11,Satellite_Selection!F12)</f>
        <v/>
      </c>
      <c r="I11" s="13">
        <f>Bond_Allocation!D9</f>
        <v>4400876.7321101343</v>
      </c>
      <c r="J11" s="13">
        <f t="shared" si="2"/>
        <v>-724123.26788986567</v>
      </c>
      <c r="K11" t="str">
        <f t="shared" si="3"/>
        <v>매도 ₩724,123</v>
      </c>
    </row>
    <row r="12" spans="1:11" x14ac:dyDescent="0.6">
      <c r="A12" t="s">
        <v>23</v>
      </c>
      <c r="B12" t="s">
        <v>22</v>
      </c>
      <c r="C12" s="11">
        <v>30</v>
      </c>
      <c r="D12" s="16">
        <f>Price_Data!C9</f>
        <v>180</v>
      </c>
      <c r="E12" s="13">
        <f t="shared" si="0"/>
        <v>5400</v>
      </c>
      <c r="F12" s="12">
        <f t="shared" si="1"/>
        <v>5.6676550077405471E-4</v>
      </c>
      <c r="H12" s="12" t="str">
        <f ca="1">Satellite_Selection!F10/SUM(Core_Allocation!D10,Core_Allocation!D11,Core_Allocation!D12,Core_Allocation!D13,Bond_Allocation!D8,Bond_Allocation!D9,Satellite_Selection!F10,Satellite_Selection!F11,Satellite_Selection!F12)</f>
        <v/>
      </c>
      <c r="I12" s="13">
        <f>Satellite_Selection!F10</f>
        <v>3496500</v>
      </c>
      <c r="J12" s="13">
        <f t="shared" si="2"/>
        <v>3491100</v>
      </c>
      <c r="K12" t="str">
        <f t="shared" si="3"/>
        <v>매수 ₩3,491,100</v>
      </c>
    </row>
    <row r="13" spans="1:11" x14ac:dyDescent="0.6">
      <c r="A13" t="s">
        <v>25</v>
      </c>
      <c r="B13" t="s">
        <v>24</v>
      </c>
      <c r="C13" s="11">
        <v>15</v>
      </c>
      <c r="D13" s="16">
        <f>Price_Data!C10</f>
        <v>250</v>
      </c>
      <c r="E13" s="13">
        <f t="shared" si="0"/>
        <v>3750</v>
      </c>
      <c r="F13" s="12">
        <f t="shared" si="1"/>
        <v>3.9358715331531578E-4</v>
      </c>
      <c r="H13" s="12" t="str">
        <f ca="1">Satellite_Selection!F11/SUM(Core_Allocation!D10,Core_Allocation!D11,Core_Allocation!D12,Core_Allocation!D13,Bond_Allocation!D8,Bond_Allocation!D9,Satellite_Selection!F10,Satellite_Selection!F11,Satellite_Selection!F12)</f>
        <v/>
      </c>
      <c r="I13" s="13">
        <f>Satellite_Selection!F11</f>
        <v>3496500</v>
      </c>
      <c r="J13" s="13">
        <f t="shared" si="2"/>
        <v>3492750</v>
      </c>
      <c r="K13" t="str">
        <f t="shared" si="3"/>
        <v>매수 ₩3,492,750</v>
      </c>
    </row>
    <row r="14" spans="1:11" x14ac:dyDescent="0.6">
      <c r="A14" t="s">
        <v>27</v>
      </c>
      <c r="B14" t="s">
        <v>26</v>
      </c>
      <c r="C14" s="11">
        <v>25</v>
      </c>
      <c r="D14" s="16">
        <f>Price_Data!C11</f>
        <v>110</v>
      </c>
      <c r="E14" s="13">
        <f t="shared" si="0"/>
        <v>2750</v>
      </c>
      <c r="F14" s="12">
        <f t="shared" si="1"/>
        <v>2.8863057909789822E-4</v>
      </c>
      <c r="H14" s="12" t="str">
        <f ca="1">Satellite_Selection!F12/SUM(Core_Allocation!D10,Core_Allocation!D11,Core_Allocation!D12,Core_Allocation!D13,Bond_Allocation!D8,Bond_Allocation!D9,Satellite_Selection!F10,Satellite_Selection!F11,Satellite_Selection!F12)</f>
        <v/>
      </c>
      <c r="I14" s="13" t="str">
        <f ca="1">Satellite_Selection!F12</f>
        <v/>
      </c>
      <c r="J14" s="13" t="str">
        <f t="shared" ca="1" si="2"/>
        <v/>
      </c>
      <c r="K14" t="str">
        <f t="shared" ca="1" si="3"/>
        <v/>
      </c>
    </row>
    <row r="15" spans="1:11" x14ac:dyDescent="0.6">
      <c r="A15" s="7" t="s">
        <v>71</v>
      </c>
      <c r="E15" s="14">
        <f>SUM(E6:E14)</f>
        <v>9527750</v>
      </c>
      <c r="F15" s="17">
        <f>SUM(F6:F14)</f>
        <v>0.99999999999999989</v>
      </c>
      <c r="I15" s="14" t="str">
        <f ca="1">SUM(I6:I14)</f>
        <v/>
      </c>
    </row>
    <row r="18" spans="1:6" x14ac:dyDescent="0.6">
      <c r="A18" s="5" t="s">
        <v>95</v>
      </c>
    </row>
    <row r="19" spans="1:6" x14ac:dyDescent="0.6">
      <c r="A19" s="1" t="s">
        <v>96</v>
      </c>
      <c r="B19" s="1" t="s">
        <v>40</v>
      </c>
      <c r="C19" s="1" t="s">
        <v>97</v>
      </c>
      <c r="D19" s="1" t="s">
        <v>98</v>
      </c>
      <c r="E19" s="1" t="s">
        <v>99</v>
      </c>
      <c r="F19" s="1" t="s">
        <v>100</v>
      </c>
    </row>
  </sheetData>
  <phoneticPr fontId="7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5"/>
  <sheetViews>
    <sheetView workbookViewId="0"/>
  </sheetViews>
  <sheetFormatPr defaultRowHeight="16.899999999999999" x14ac:dyDescent="0.6"/>
  <cols>
    <col min="1" max="7" width="13" customWidth="1"/>
  </cols>
  <sheetData>
    <row r="1" spans="1:7" ht="20.65" x14ac:dyDescent="0.7">
      <c r="A1" s="6" t="s">
        <v>101</v>
      </c>
    </row>
    <row r="3" spans="1:7" x14ac:dyDescent="0.6">
      <c r="A3" s="1" t="s">
        <v>86</v>
      </c>
      <c r="B3" s="1" t="s">
        <v>102</v>
      </c>
      <c r="C3" s="1" t="s">
        <v>103</v>
      </c>
      <c r="D3" s="1" t="s">
        <v>104</v>
      </c>
      <c r="E3" s="1" t="s">
        <v>105</v>
      </c>
      <c r="F3" s="1" t="s">
        <v>106</v>
      </c>
      <c r="G3" s="1" t="s">
        <v>10</v>
      </c>
    </row>
    <row r="4" spans="1:7" x14ac:dyDescent="0.6">
      <c r="A4" t="s">
        <v>87</v>
      </c>
      <c r="B4" s="4">
        <v>30000000</v>
      </c>
      <c r="C4" t="s">
        <v>107</v>
      </c>
      <c r="D4" t="s">
        <v>108</v>
      </c>
      <c r="E4" s="11" t="s">
        <v>109</v>
      </c>
      <c r="F4" s="11" t="s">
        <v>109</v>
      </c>
      <c r="G4" s="11" t="s">
        <v>108</v>
      </c>
    </row>
    <row r="5" spans="1:7" x14ac:dyDescent="0.6">
      <c r="A5" t="s">
        <v>110</v>
      </c>
      <c r="B5" s="13">
        <f>Rebalancing!E15</f>
        <v>9527750</v>
      </c>
      <c r="C5" s="12">
        <f>(B5-B4)/B4</f>
        <v>-0.68240833333333328</v>
      </c>
      <c r="D5" s="12">
        <f>(B5-B$4)/B$4</f>
        <v>-0.68240833333333328</v>
      </c>
      <c r="E5" s="12">
        <f>Asset_Allocation!B4/100</f>
        <v>0.7</v>
      </c>
      <c r="F5" s="12">
        <f>Asset_Allocation!B14/100</f>
        <v>0.5</v>
      </c>
      <c r="G5" s="12">
        <v>2.5000000000000001E-2</v>
      </c>
    </row>
  </sheetData>
  <phoneticPr fontId="7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26"/>
  <sheetViews>
    <sheetView workbookViewId="0">
      <selection activeCell="D9" sqref="D9"/>
    </sheetView>
  </sheetViews>
  <sheetFormatPr defaultRowHeight="16.899999999999999" x14ac:dyDescent="0.6"/>
  <cols>
    <col min="1" max="1" width="15" customWidth="1"/>
    <col min="2" max="2" width="18" customWidth="1"/>
    <col min="3" max="4" width="12" customWidth="1"/>
  </cols>
  <sheetData>
    <row r="1" spans="1:3" ht="24.75" x14ac:dyDescent="0.85">
      <c r="A1" s="18" t="s">
        <v>111</v>
      </c>
    </row>
    <row r="2" spans="1:3" x14ac:dyDescent="0.6">
      <c r="A2" t="s">
        <v>112</v>
      </c>
      <c r="B2" t="str">
        <f>Rebalancing!B2</f>
        <v>2025-01-31</v>
      </c>
    </row>
    <row r="4" spans="1:3" ht="19.149999999999999" x14ac:dyDescent="0.7">
      <c r="A4" s="19" t="s">
        <v>113</v>
      </c>
    </row>
    <row r="5" spans="1:3" x14ac:dyDescent="0.6">
      <c r="A5" t="s">
        <v>63</v>
      </c>
      <c r="B5" s="20">
        <f>Rebalancing!E15</f>
        <v>9527750</v>
      </c>
    </row>
    <row r="6" spans="1:3" x14ac:dyDescent="0.6">
      <c r="A6" t="s">
        <v>114</v>
      </c>
      <c r="B6" s="12">
        <f>Performance!C5</f>
        <v>-0.68240833333333328</v>
      </c>
    </row>
    <row r="7" spans="1:3" x14ac:dyDescent="0.6">
      <c r="A7" t="s">
        <v>115</v>
      </c>
      <c r="B7" s="12">
        <f>Performance!D5</f>
        <v>-0.68240833333333328</v>
      </c>
    </row>
    <row r="9" spans="1:3" ht="19.149999999999999" x14ac:dyDescent="0.7">
      <c r="A9" s="19" t="s">
        <v>116</v>
      </c>
    </row>
    <row r="10" spans="1:3" x14ac:dyDescent="0.6">
      <c r="A10" t="s">
        <v>117</v>
      </c>
      <c r="B10" s="21">
        <f>SUMIFS(Rebalancing!E:E,Rebalancing!A:A,"S&amp;P500")+SUMIFS(Rebalancing!E:E,Rebalancing!A:A,"KOSPI")+SUMIFS(Rebalancing!E:E,Rebalancing!A:A,"CSI300")+SUMIFS(Rebalancing!E:E,Rebalancing!A:A,"Europe")+SUMIFS(Rebalancing!E:E,Rebalancing!A:A,"Apple")+SUMIFS(Rebalancing!E:E,Rebalancing!A:A,"Tesla")+SUMIFS(Rebalancing!E:E,Rebalancing!A:A,"Exxon")</f>
        <v>4398000</v>
      </c>
      <c r="C10" s="12">
        <f>B10/B5</f>
        <v>0.46159901340820236</v>
      </c>
    </row>
    <row r="11" spans="1:3" x14ac:dyDescent="0.6">
      <c r="A11" t="s">
        <v>118</v>
      </c>
      <c r="B11" s="21">
        <f>SUMIFS(Rebalancing!E:E,Rebalancing!A:A,"미국채")+SUMIFS(Rebalancing!E:E,Rebalancing!A:A,"한국채")</f>
        <v>5129750</v>
      </c>
      <c r="C11" s="12">
        <f>B11/B5</f>
        <v>0.53840098659179769</v>
      </c>
    </row>
    <row r="13" spans="1:3" x14ac:dyDescent="0.6">
      <c r="A13" t="s">
        <v>119</v>
      </c>
      <c r="B13" s="21">
        <f>SUMIFS(Rebalancing!E:E,Rebalancing!A:A,"S&amp;P500")+SUMIFS(Rebalancing!E:E,Rebalancing!A:A,"KOSPI")+SUMIFS(Rebalancing!E:E,Rebalancing!A:A,"CSI300")+SUMIFS(Rebalancing!E:E,Rebalancing!A:A,"Europe")</f>
        <v>4386100</v>
      </c>
      <c r="C13" s="12">
        <f>B13/B5</f>
        <v>0.46035003017501508</v>
      </c>
    </row>
    <row r="14" spans="1:3" x14ac:dyDescent="0.6">
      <c r="A14" t="s">
        <v>120</v>
      </c>
      <c r="B14" s="21">
        <f>SUMIFS(Rebalancing!E:E,Rebalancing!A:A,"Apple")+SUMIFS(Rebalancing!E:E,Rebalancing!A:A,"Tesla")+SUMIFS(Rebalancing!E:E,Rebalancing!A:A,"Exxon")</f>
        <v>11900</v>
      </c>
      <c r="C14" s="12">
        <f>B14/B5</f>
        <v>1.2489832331872687E-3</v>
      </c>
    </row>
    <row r="16" spans="1:3" ht="19.149999999999999" x14ac:dyDescent="0.7">
      <c r="A16" s="19" t="s">
        <v>121</v>
      </c>
    </row>
    <row r="17" spans="1:4" x14ac:dyDescent="0.6">
      <c r="A17" s="1" t="s">
        <v>122</v>
      </c>
      <c r="B17" s="1" t="s">
        <v>90</v>
      </c>
      <c r="C17" s="1" t="s">
        <v>82</v>
      </c>
      <c r="D17" s="1" t="s">
        <v>123</v>
      </c>
    </row>
    <row r="18" spans="1:4" x14ac:dyDescent="0.6">
      <c r="A18" t="str">
        <f>Rebalancing!A6</f>
        <v>S&amp;P500</v>
      </c>
      <c r="B18" s="13">
        <f>Rebalancing!E6</f>
        <v>5000</v>
      </c>
      <c r="C18" s="12">
        <f>Rebalancing!F6</f>
        <v>5.2478287108708767E-4</v>
      </c>
      <c r="D18" t="s">
        <v>107</v>
      </c>
    </row>
    <row r="19" spans="1:4" x14ac:dyDescent="0.6">
      <c r="A19" t="str">
        <f>Rebalancing!A7</f>
        <v>KOSPI</v>
      </c>
      <c r="B19" s="13">
        <f>Rebalancing!E7</f>
        <v>4375000</v>
      </c>
      <c r="C19" s="12">
        <f>Rebalancing!F7</f>
        <v>0.45918501220120173</v>
      </c>
      <c r="D19" t="s">
        <v>107</v>
      </c>
    </row>
    <row r="20" spans="1:4" x14ac:dyDescent="0.6">
      <c r="A20" t="str">
        <f>Rebalancing!A8</f>
        <v>CSI300</v>
      </c>
      <c r="B20" s="13">
        <f>Rebalancing!E8</f>
        <v>2850</v>
      </c>
      <c r="C20" s="12">
        <f>Rebalancing!F8</f>
        <v>2.9912623651964001E-4</v>
      </c>
      <c r="D20" t="s">
        <v>107</v>
      </c>
    </row>
    <row r="21" spans="1:4" x14ac:dyDescent="0.6">
      <c r="A21" t="str">
        <f>Rebalancing!A9</f>
        <v>Europe</v>
      </c>
      <c r="B21" s="13">
        <f>Rebalancing!E9</f>
        <v>3250</v>
      </c>
      <c r="C21" s="12">
        <f>Rebalancing!F9</f>
        <v>3.41108866206607E-4</v>
      </c>
      <c r="D21" t="s">
        <v>107</v>
      </c>
    </row>
    <row r="22" spans="1:4" x14ac:dyDescent="0.6">
      <c r="A22" t="str">
        <f>Rebalancing!A10</f>
        <v>미국채</v>
      </c>
      <c r="B22" s="13">
        <f>Rebalancing!E10</f>
        <v>4750</v>
      </c>
      <c r="C22" s="12">
        <f>Rebalancing!F10</f>
        <v>4.9854372753273333E-4</v>
      </c>
      <c r="D22" t="s">
        <v>107</v>
      </c>
    </row>
    <row r="23" spans="1:4" x14ac:dyDescent="0.6">
      <c r="A23" t="str">
        <f>Rebalancing!A11</f>
        <v>한국채</v>
      </c>
      <c r="B23" s="13">
        <f>Rebalancing!E11</f>
        <v>5125000</v>
      </c>
      <c r="C23" s="12">
        <f>Rebalancing!F11</f>
        <v>0.53790244286426492</v>
      </c>
      <c r="D23" t="s">
        <v>107</v>
      </c>
    </row>
    <row r="24" spans="1:4" x14ac:dyDescent="0.6">
      <c r="A24" t="str">
        <f>Rebalancing!A12</f>
        <v>Apple</v>
      </c>
      <c r="B24" s="13">
        <f>Rebalancing!E12</f>
        <v>5400</v>
      </c>
      <c r="C24" s="12">
        <f>Rebalancing!F12</f>
        <v>5.6676550077405471E-4</v>
      </c>
      <c r="D24" t="s">
        <v>107</v>
      </c>
    </row>
    <row r="25" spans="1:4" x14ac:dyDescent="0.6">
      <c r="A25" t="str">
        <f>Rebalancing!A13</f>
        <v>Tesla</v>
      </c>
      <c r="B25" s="13">
        <f>Rebalancing!E13</f>
        <v>3750</v>
      </c>
      <c r="C25" s="12">
        <f>Rebalancing!F13</f>
        <v>3.9358715331531578E-4</v>
      </c>
      <c r="D25" t="s">
        <v>107</v>
      </c>
    </row>
    <row r="26" spans="1:4" x14ac:dyDescent="0.6">
      <c r="A26" t="str">
        <f>Rebalancing!A14</f>
        <v>Exxon</v>
      </c>
      <c r="B26" s="13">
        <f>Rebalancing!E14</f>
        <v>2750</v>
      </c>
      <c r="C26" s="12">
        <f>Rebalancing!F14</f>
        <v>2.8863057909789822E-4</v>
      </c>
      <c r="D26" t="s">
        <v>107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Price_Data</vt:lpstr>
      <vt:lpstr>Momentum_Calc</vt:lpstr>
      <vt:lpstr>Asset_Allocation</vt:lpstr>
      <vt:lpstr>Core_Allocation</vt:lpstr>
      <vt:lpstr>Bond_Allocation</vt:lpstr>
      <vt:lpstr>Satellite_Selection</vt:lpstr>
      <vt:lpstr>Rebalancing</vt:lpstr>
      <vt:lpstr>Performance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김주희</cp:lastModifiedBy>
  <dcterms:created xsi:type="dcterms:W3CDTF">2025-11-03T12:11:40Z</dcterms:created>
  <dcterms:modified xsi:type="dcterms:W3CDTF">2025-11-03T12:51:48Z</dcterms:modified>
</cp:coreProperties>
</file>