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30"/>
  <workbookPr/>
  <mc:AlternateContent xmlns:mc="http://schemas.openxmlformats.org/markup-compatibility/2006">
    <mc:Choice Requires="x15">
      <x15ac:absPath xmlns:x15ac="http://schemas.microsoft.com/office/spreadsheetml/2010/11/ac" url="https://goe0200-my.sharepoint.com/personal/wngml0630_kwangsunge_goe_go_kr/Documents/macro_strategy/Portfolio/"/>
    </mc:Choice>
  </mc:AlternateContent>
  <xr:revisionPtr revIDLastSave="59" documentId="11_8C0B8BEF93006CC2432FAC54C2245937AAE96A49" xr6:coauthVersionLast="47" xr6:coauthVersionMax="47" xr10:uidLastSave="{22F057F7-FF11-4715-A586-0AE9EAC6E509}"/>
  <bookViews>
    <workbookView xWindow="-98" yWindow="-98" windowWidth="21795" windowHeight="12975" activeTab="5" xr2:uid="{00000000-000D-0000-FFFF-FFFF00000000}"/>
  </bookViews>
  <sheets>
    <sheet name="Price_Data" sheetId="1" r:id="rId1"/>
    <sheet name="Momentum_Calc" sheetId="2" r:id="rId2"/>
    <sheet name="Asset_Allocation" sheetId="3" r:id="rId3"/>
    <sheet name="Core_Allocation" sheetId="4" r:id="rId4"/>
    <sheet name="Bond_Allocation" sheetId="5" r:id="rId5"/>
    <sheet name="Satellite_Selection" sheetId="6" r:id="rId6"/>
    <sheet name="Rebalancing" sheetId="7" r:id="rId7"/>
    <sheet name="Performance" sheetId="8" r:id="rId8"/>
    <sheet name="Dashboard" sheetId="9" r:id="rId9"/>
  </sheets>
  <definedNames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/>
</workbook>
</file>

<file path=xl/calcChain.xml><?xml version="1.0" encoding="utf-8"?>
<calcChain xmlns="http://schemas.openxmlformats.org/spreadsheetml/2006/main">
  <c r="E14" i="6" l="1"/>
  <c r="G13" i="6"/>
  <c r="F13" i="6"/>
  <c r="C13" i="6"/>
  <c r="B13" i="6"/>
  <c r="A13" i="6"/>
  <c r="F5" i="2"/>
  <c r="F6" i="2"/>
  <c r="B3" i="4"/>
  <c r="G10" i="1" l="1"/>
  <c r="B20" i="2" s="1"/>
  <c r="D12" i="7" l="1"/>
  <c r="D11" i="7"/>
  <c r="D10" i="7"/>
  <c r="D9" i="7"/>
  <c r="D8" i="7"/>
  <c r="D7" i="7"/>
  <c r="D6" i="7"/>
  <c r="B12" i="7"/>
  <c r="B11" i="7"/>
  <c r="B10" i="7"/>
  <c r="A12" i="7"/>
  <c r="A11" i="7"/>
  <c r="A10" i="7"/>
  <c r="B9" i="7"/>
  <c r="B8" i="7"/>
  <c r="B7" i="7"/>
  <c r="B6" i="7"/>
  <c r="A9" i="7"/>
  <c r="A8" i="7"/>
  <c r="A7" i="7"/>
  <c r="A6" i="7"/>
  <c r="G12" i="6"/>
  <c r="G11" i="6"/>
  <c r="G10" i="6"/>
  <c r="A12" i="6"/>
  <c r="A11" i="6"/>
  <c r="A10" i="6"/>
  <c r="E12" i="4"/>
  <c r="E11" i="4"/>
  <c r="E10" i="4"/>
  <c r="A12" i="4"/>
  <c r="A11" i="4"/>
  <c r="A10" i="4"/>
  <c r="A22" i="2"/>
  <c r="A21" i="2"/>
  <c r="A20" i="2"/>
  <c r="A19" i="2"/>
  <c r="A18" i="2"/>
  <c r="A17" i="2"/>
  <c r="I11" i="1"/>
  <c r="H11" i="1"/>
  <c r="G11" i="1"/>
  <c r="B21" i="2" s="1"/>
  <c r="I10" i="1"/>
  <c r="H10" i="1"/>
  <c r="C21" i="2" s="1"/>
  <c r="I9" i="1"/>
  <c r="H9" i="1"/>
  <c r="C20" i="2" s="1"/>
  <c r="G9" i="1"/>
  <c r="B19" i="2" s="1"/>
  <c r="A7" i="2"/>
  <c r="I4" i="1"/>
  <c r="H4" i="1"/>
  <c r="G4" i="1"/>
  <c r="B7" i="2" s="1"/>
  <c r="D7" i="2" l="1"/>
  <c r="E7" i="2" s="1"/>
  <c r="C7" i="2"/>
  <c r="D20" i="2"/>
  <c r="D21" i="2"/>
  <c r="A24" i="9"/>
  <c r="A23" i="9"/>
  <c r="A22" i="9"/>
  <c r="A21" i="9"/>
  <c r="A20" i="9"/>
  <c r="A19" i="9"/>
  <c r="A18" i="9"/>
  <c r="B2" i="9"/>
  <c r="F5" i="8"/>
  <c r="E5" i="8"/>
  <c r="E12" i="7"/>
  <c r="B22" i="9"/>
  <c r="E9" i="7"/>
  <c r="E8" i="7"/>
  <c r="B20" i="9" s="1"/>
  <c r="E7" i="7"/>
  <c r="E6" i="7"/>
  <c r="B4" i="6"/>
  <c r="B3" i="6"/>
  <c r="B3" i="5"/>
  <c r="B6" i="4"/>
  <c r="B4" i="4"/>
  <c r="B5" i="4" s="1"/>
  <c r="B15" i="3"/>
  <c r="B6" i="6" s="1"/>
  <c r="B5" i="3"/>
  <c r="B4" i="5" s="1"/>
  <c r="I12" i="1"/>
  <c r="H12" i="1"/>
  <c r="G12" i="1"/>
  <c r="B22" i="2" s="1"/>
  <c r="C22" i="2" s="1"/>
  <c r="I8" i="1"/>
  <c r="H8" i="1"/>
  <c r="G8" i="1"/>
  <c r="B18" i="2" s="1"/>
  <c r="I7" i="1"/>
  <c r="H7" i="1"/>
  <c r="G7" i="1"/>
  <c r="B17" i="2" s="1"/>
  <c r="I5" i="1"/>
  <c r="H5" i="1"/>
  <c r="G5" i="1"/>
  <c r="B12" i="2" s="1"/>
  <c r="I3" i="1"/>
  <c r="H3" i="1"/>
  <c r="G3" i="1"/>
  <c r="B6" i="2" s="1"/>
  <c r="C6" i="2" s="1"/>
  <c r="I2" i="1"/>
  <c r="H2" i="1"/>
  <c r="G2" i="1"/>
  <c r="B5" i="2" s="1"/>
  <c r="C5" i="2" s="1"/>
  <c r="B5" i="5" l="1"/>
  <c r="B10" i="6"/>
  <c r="D22" i="2"/>
  <c r="C12" i="2"/>
  <c r="D6" i="2"/>
  <c r="E6" i="2" s="1"/>
  <c r="B7" i="4"/>
  <c r="D19" i="2"/>
  <c r="C18" i="2"/>
  <c r="C11" i="6" s="1"/>
  <c r="D18" i="2"/>
  <c r="B11" i="6"/>
  <c r="B5" i="6"/>
  <c r="B7" i="6" s="1"/>
  <c r="F7" i="7"/>
  <c r="C19" i="9" s="1"/>
  <c r="B19" i="9"/>
  <c r="D5" i="2"/>
  <c r="E5" i="2" s="1"/>
  <c r="D17" i="2"/>
  <c r="C17" i="2"/>
  <c r="C10" i="6" s="1"/>
  <c r="B10" i="9"/>
  <c r="E13" i="7"/>
  <c r="B18" i="9"/>
  <c r="F6" i="7"/>
  <c r="B13" i="9"/>
  <c r="B14" i="9"/>
  <c r="B21" i="9"/>
  <c r="F9" i="7"/>
  <c r="C21" i="9" s="1"/>
  <c r="F12" i="7"/>
  <c r="C24" i="9" s="1"/>
  <c r="B11" i="9"/>
  <c r="F11" i="7"/>
  <c r="C23" i="9" s="1"/>
  <c r="B23" i="9"/>
  <c r="F10" i="7"/>
  <c r="C22" i="9" s="1"/>
  <c r="B24" i="9"/>
  <c r="D12" i="2"/>
  <c r="E12" i="2" s="1"/>
  <c r="F8" i="7"/>
  <c r="C20" i="9" s="1"/>
  <c r="B12" i="4" l="1"/>
  <c r="C12" i="4" s="1"/>
  <c r="D12" i="4" s="1"/>
  <c r="G12" i="4" s="1"/>
  <c r="B10" i="4"/>
  <c r="C10" i="4" s="1"/>
  <c r="B11" i="4"/>
  <c r="C11" i="4" s="1"/>
  <c r="D11" i="4" s="1"/>
  <c r="G11" i="4" s="1"/>
  <c r="B12" i="6"/>
  <c r="C19" i="2"/>
  <c r="C12" i="6" s="1"/>
  <c r="I9" i="7"/>
  <c r="J9" i="7" s="1"/>
  <c r="K9" i="7" s="1"/>
  <c r="F12" i="2"/>
  <c r="B8" i="5" s="1"/>
  <c r="C8" i="5" s="1"/>
  <c r="D8" i="5" s="1"/>
  <c r="B5" i="9"/>
  <c r="C13" i="9" s="1"/>
  <c r="B5" i="8"/>
  <c r="F10" i="6"/>
  <c r="I10" i="6" s="1"/>
  <c r="F11" i="6"/>
  <c r="I11" i="6" s="1"/>
  <c r="C18" i="9"/>
  <c r="F13" i="7"/>
  <c r="I10" i="7" l="1"/>
  <c r="J10" i="7" s="1"/>
  <c r="K10" i="7" s="1"/>
  <c r="G8" i="5"/>
  <c r="C13" i="4"/>
  <c r="C11" i="9"/>
  <c r="C14" i="9"/>
  <c r="C10" i="9"/>
  <c r="D10" i="4"/>
  <c r="I11" i="7"/>
  <c r="J11" i="7" s="1"/>
  <c r="K11" i="7" s="1"/>
  <c r="I12" i="7"/>
  <c r="J12" i="7" s="1"/>
  <c r="K12" i="7" s="1"/>
  <c r="I7" i="7"/>
  <c r="J7" i="7" s="1"/>
  <c r="K7" i="7" s="1"/>
  <c r="I8" i="7"/>
  <c r="J8" i="7" s="1"/>
  <c r="K8" i="7" s="1"/>
  <c r="D5" i="8"/>
  <c r="B7" i="9" s="1"/>
  <c r="C5" i="8"/>
  <c r="B6" i="9" s="1"/>
  <c r="C9" i="5"/>
  <c r="D9" i="5"/>
  <c r="D13" i="4" l="1"/>
  <c r="G10" i="4"/>
  <c r="I6" i="7"/>
  <c r="J6" i="7" l="1"/>
  <c r="K6" i="7" s="1"/>
  <c r="I13" i="7"/>
  <c r="H10" i="7"/>
  <c r="H6" i="7"/>
  <c r="H11" i="7"/>
  <c r="H8" i="7"/>
  <c r="H12" i="7"/>
  <c r="H7" i="7"/>
  <c r="H9" i="7"/>
  <c r="F12" i="6"/>
  <c r="I12" i="6" s="1"/>
  <c r="F14" i="6" l="1"/>
</calcChain>
</file>

<file path=xl/sharedStrings.xml><?xml version="1.0" encoding="utf-8"?>
<sst xmlns="http://schemas.openxmlformats.org/spreadsheetml/2006/main" count="174" uniqueCount="127">
  <si>
    <t>Ticker</t>
  </si>
  <si>
    <t>자산명</t>
  </si>
  <si>
    <t>현재가</t>
  </si>
  <si>
    <t>3M 전 가격</t>
  </si>
  <si>
    <t>6M 전 가격</t>
  </si>
  <si>
    <t>12M 전 가격</t>
  </si>
  <si>
    <t>3M 수익률</t>
  </si>
  <si>
    <t>6M 수익률</t>
  </si>
  <si>
    <t>12M 수익률</t>
  </si>
  <si>
    <t>SPY</t>
  </si>
  <si>
    <t>S&amp;P500</t>
  </si>
  <si>
    <t>KOSPI</t>
  </si>
  <si>
    <t>TLT</t>
  </si>
  <si>
    <t>미국채 20년</t>
  </si>
  <si>
    <t>*** 새틀라이트 종목 ***</t>
  </si>
  <si>
    <t>모멘텀 계산</t>
  </si>
  <si>
    <t>1. 코어 인덱스 모멘텀</t>
  </si>
  <si>
    <t>자산</t>
  </si>
  <si>
    <t>절대모멘텀</t>
  </si>
  <si>
    <t>조정 수익률</t>
  </si>
  <si>
    <t>모멘텀 스코어</t>
  </si>
  <si>
    <t>추천 비중</t>
  </si>
  <si>
    <t>모멘텀 계수:</t>
  </si>
  <si>
    <t>2. 채권 모멘텀</t>
  </si>
  <si>
    <t>미국채</t>
  </si>
  <si>
    <t>3. 새틀라이트 절대모멘텀</t>
  </si>
  <si>
    <t>종목</t>
  </si>
  <si>
    <t>판정</t>
  </si>
  <si>
    <t>자산 배분 결정</t>
  </si>
  <si>
    <t>← 입력 (50~80)</t>
  </si>
  <si>
    <t>채권 비중 (%)</t>
  </si>
  <si>
    <t>자동 계산</t>
  </si>
  <si>
    <t>판단 근거</t>
  </si>
  <si>
    <t>경기 전망</t>
  </si>
  <si>
    <t>확장</t>
  </si>
  <si>
    <t>금리 전망</t>
  </si>
  <si>
    <t>인하</t>
  </si>
  <si>
    <t>시장 모멘텀</t>
  </si>
  <si>
    <t>강세</t>
  </si>
  <si>
    <t>2. 코어 vs 새틀라이트 (주식 내)</t>
  </si>
  <si>
    <t>코어 비중 (%)</t>
  </si>
  <si>
    <t>← 입력 (50~100)</t>
  </si>
  <si>
    <t>새틀라이트 비중 (%)</t>
  </si>
  <si>
    <t>코어 배분 계산</t>
  </si>
  <si>
    <t>총 자산</t>
  </si>
  <si>
    <t>주식 비중</t>
  </si>
  <si>
    <t>주식 금액</t>
  </si>
  <si>
    <t>코어 총액</t>
  </si>
  <si>
    <t>국가별 배분</t>
  </si>
  <si>
    <t>투자 비중</t>
  </si>
  <si>
    <t>투자 금액</t>
  </si>
  <si>
    <t>합계</t>
  </si>
  <si>
    <t>채권 배분 계산</t>
  </si>
  <si>
    <t>채권 비중</t>
  </si>
  <si>
    <t>채권 총액</t>
  </si>
  <si>
    <t>채권별 배분</t>
  </si>
  <si>
    <t>새틀라이트 선정</t>
  </si>
  <si>
    <t>새틀라이트 비중</t>
  </si>
  <si>
    <t>새틀라이트 총액</t>
  </si>
  <si>
    <t>종목 선정</t>
  </si>
  <si>
    <t>확신도</t>
  </si>
  <si>
    <t>비중</t>
  </si>
  <si>
    <t>투자금액</t>
  </si>
  <si>
    <t>상</t>
  </si>
  <si>
    <t>리밸런싱 실행</t>
  </si>
  <si>
    <t>기준일</t>
  </si>
  <si>
    <t>2025-01-31</t>
  </si>
  <si>
    <t>현재 보유 현황</t>
  </si>
  <si>
    <t>보유 수량</t>
  </si>
  <si>
    <t>평가금액</t>
  </si>
  <si>
    <t>목표 비중</t>
  </si>
  <si>
    <t>목표 금액</t>
  </si>
  <si>
    <t>차이</t>
  </si>
  <si>
    <t>조치</t>
  </si>
  <si>
    <t>매매 주문서</t>
  </si>
  <si>
    <t>순서</t>
  </si>
  <si>
    <t>매매</t>
  </si>
  <si>
    <t>금액</t>
  </si>
  <si>
    <t>예상 수량</t>
  </si>
  <si>
    <t>비고</t>
  </si>
  <si>
    <t>성과 추적</t>
  </si>
  <si>
    <t>총자산</t>
  </si>
  <si>
    <t>월수익률</t>
  </si>
  <si>
    <t>누적수익률</t>
  </si>
  <si>
    <t>주식비중</t>
  </si>
  <si>
    <t>코어비중</t>
  </si>
  <si>
    <t>-</t>
  </si>
  <si>
    <t>0.0%</t>
  </si>
  <si>
    <t>70%</t>
  </si>
  <si>
    <t>2025-02-28</t>
  </si>
  <si>
    <t>Portfolio Dashboard</t>
  </si>
  <si>
    <t>업데이트:</t>
  </si>
  <si>
    <t>핵심 지표</t>
  </si>
  <si>
    <t>당월 수익률</t>
  </si>
  <si>
    <t>누적 수익률</t>
  </si>
  <si>
    <t>현재 자산 배분</t>
  </si>
  <si>
    <t>주식</t>
  </si>
  <si>
    <t>채권</t>
  </si>
  <si>
    <t>코어</t>
  </si>
  <si>
    <t>새틀라이트</t>
  </si>
  <si>
    <t>보유 자산 목록</t>
  </si>
  <si>
    <t>종목명</t>
  </si>
  <si>
    <t>수익률</t>
  </si>
  <si>
    <t>KOSPI200</t>
    <phoneticPr fontId="7" type="noConversion"/>
  </si>
  <si>
    <t>FRO</t>
    <phoneticPr fontId="7" type="noConversion"/>
  </si>
  <si>
    <t>Frontline Plc</t>
    <phoneticPr fontId="7" type="noConversion"/>
  </si>
  <si>
    <t>AR</t>
    <phoneticPr fontId="7" type="noConversion"/>
  </si>
  <si>
    <t>Antero Resources Corp</t>
    <phoneticPr fontId="7" type="noConversion"/>
  </si>
  <si>
    <t>금</t>
    <phoneticPr fontId="7" type="noConversion"/>
  </si>
  <si>
    <t>구리</t>
    <phoneticPr fontId="7" type="noConversion"/>
  </si>
  <si>
    <t>희토류</t>
    <phoneticPr fontId="7" type="noConversion"/>
  </si>
  <si>
    <t>REMX</t>
    <phoneticPr fontId="7" type="noConversion"/>
  </si>
  <si>
    <t>HG1</t>
    <phoneticPr fontId="7" type="noConversion"/>
  </si>
  <si>
    <t>GC1</t>
    <phoneticPr fontId="7" type="noConversion"/>
  </si>
  <si>
    <t>K51</t>
    <phoneticPr fontId="7" type="noConversion"/>
  </si>
  <si>
    <t>중</t>
    <phoneticPr fontId="7" type="noConversion"/>
  </si>
  <si>
    <t>주식 비중 (%)</t>
    <phoneticPr fontId="7" type="noConversion"/>
  </si>
  <si>
    <t>주식 비중</t>
    <phoneticPr fontId="7" type="noConversion"/>
  </si>
  <si>
    <t>주식 금액</t>
    <phoneticPr fontId="7" type="noConversion"/>
  </si>
  <si>
    <t>1. 주식 vs 채권</t>
    <phoneticPr fontId="7" type="noConversion"/>
  </si>
  <si>
    <t>3M 수익률</t>
    <phoneticPr fontId="7" type="noConversion"/>
  </si>
  <si>
    <t>3M 모멘텀</t>
    <phoneticPr fontId="7" type="noConversion"/>
  </si>
  <si>
    <t>0047A0</t>
    <phoneticPr fontId="7" type="noConversion"/>
  </si>
  <si>
    <t>TIGER 차이나테크 TOP10</t>
    <phoneticPr fontId="7" type="noConversion"/>
  </si>
  <si>
    <t>상</t>
    <phoneticPr fontId="7" type="noConversion"/>
  </si>
  <si>
    <t>URNM</t>
    <phoneticPr fontId="7" type="noConversion"/>
  </si>
  <si>
    <t>Sportt Uranium Miners ETF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</si>
</sst>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&quot;%&quot;"/>
    <numFmt numFmtId="177" formatCode="0.0000"/>
    <numFmt numFmtId="178" formatCode="0.0%"/>
    <numFmt numFmtId="179" formatCode="#,##0&quot; 원&quot;"/>
  </numFmts>
  <fonts count="8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11"/>
      <color rgb="FF0000FF"/>
      <name val="맑은 고딕"/>
      <family val="3"/>
      <charset val="129"/>
    </font>
    <font>
      <b/>
      <sz val="14"/>
      <name val="맑은 고딕"/>
      <family val="3"/>
      <charset val="129"/>
    </font>
    <font>
      <b/>
      <sz val="11"/>
      <name val="맑은 고딕"/>
      <family val="3"/>
      <charset val="129"/>
    </font>
    <font>
      <b/>
      <sz val="16"/>
      <name val="맑은 고딕"/>
      <family val="3"/>
      <charset val="129"/>
    </font>
    <font>
      <b/>
      <sz val="12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/>
    </xf>
    <xf numFmtId="4" fontId="2" fillId="0" borderId="0" xfId="0" applyNumberFormat="1" applyFont="1"/>
    <xf numFmtId="176" fontId="0" fillId="0" borderId="0" xfId="0" applyNumberFormat="1"/>
    <xf numFmtId="3" fontId="2" fillId="0" borderId="0" xfId="0" applyNumberFormat="1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2" fillId="3" borderId="0" xfId="0" applyFont="1" applyFill="1"/>
    <xf numFmtId="177" fontId="0" fillId="0" borderId="0" xfId="0" applyNumberFormat="1"/>
    <xf numFmtId="1" fontId="0" fillId="0" borderId="0" xfId="0" applyNumberFormat="1"/>
    <xf numFmtId="0" fontId="2" fillId="0" borderId="0" xfId="0" applyFont="1"/>
    <xf numFmtId="178" fontId="0" fillId="0" borderId="0" xfId="0" applyNumberFormat="1"/>
    <xf numFmtId="3" fontId="0" fillId="0" borderId="0" xfId="0" applyNumberFormat="1"/>
    <xf numFmtId="3" fontId="4" fillId="0" borderId="0" xfId="0" applyNumberFormat="1" applyFont="1"/>
    <xf numFmtId="178" fontId="2" fillId="3" borderId="0" xfId="0" applyNumberFormat="1" applyFont="1" applyFill="1"/>
    <xf numFmtId="4" fontId="0" fillId="0" borderId="0" xfId="0" applyNumberFormat="1"/>
    <xf numFmtId="178" fontId="4" fillId="0" borderId="0" xfId="0" applyNumberFormat="1" applyFont="1"/>
    <xf numFmtId="0" fontId="5" fillId="0" borderId="0" xfId="0" applyFont="1"/>
    <xf numFmtId="0" fontId="6" fillId="2" borderId="0" xfId="0" applyFont="1" applyFill="1"/>
    <xf numFmtId="179" fontId="1" fillId="0" borderId="0" xfId="0" applyNumberFormat="1" applyFont="1"/>
    <xf numFmtId="179" fontId="0" fillId="0" borderId="0" xfId="0" applyNumberFormat="1"/>
    <xf numFmtId="14" fontId="2" fillId="0" borderId="0" xfId="0" applyNumberFormat="1" applyFont="1"/>
    <xf numFmtId="14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workbookViewId="0">
      <selection activeCell="A11" sqref="A11"/>
    </sheetView>
  </sheetViews>
  <sheetFormatPr defaultRowHeight="16.899999999999999" x14ac:dyDescent="0.6"/>
  <cols>
    <col min="1" max="1" width="12" customWidth="1"/>
    <col min="2" max="2" width="17.25" bestFit="1" customWidth="1"/>
    <col min="3" max="9" width="12" customWidth="1"/>
  </cols>
  <sheetData>
    <row r="1" spans="1:9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6">
      <c r="A2" t="s">
        <v>9</v>
      </c>
      <c r="B2" t="s">
        <v>10</v>
      </c>
      <c r="C2" s="2">
        <v>6865.17</v>
      </c>
      <c r="D2" s="2">
        <v>6715.35</v>
      </c>
      <c r="E2" s="2">
        <v>6227.42</v>
      </c>
      <c r="F2" s="2">
        <v>5868.55</v>
      </c>
      <c r="G2" s="3">
        <f t="shared" ref="G2:G8" si="0">(C2-D2)/D2*100</f>
        <v>2.2310080636154437</v>
      </c>
      <c r="H2" s="3">
        <f t="shared" ref="H2:H8" si="1">(C2-E2)/E2*100</f>
        <v>10.240998680031216</v>
      </c>
      <c r="I2" s="3">
        <f t="shared" ref="I2:I8" si="2">(C2-F2)/F2*100</f>
        <v>16.982389176201956</v>
      </c>
    </row>
    <row r="3" spans="1:9" x14ac:dyDescent="0.6">
      <c r="A3" t="s">
        <v>114</v>
      </c>
      <c r="B3" t="s">
        <v>103</v>
      </c>
      <c r="C3" s="2">
        <v>624</v>
      </c>
      <c r="D3" s="2">
        <v>493</v>
      </c>
      <c r="E3" s="2">
        <v>414</v>
      </c>
      <c r="F3" s="2">
        <v>318</v>
      </c>
      <c r="G3" s="3">
        <f t="shared" si="0"/>
        <v>26.572008113590261</v>
      </c>
      <c r="H3" s="3">
        <f t="shared" si="1"/>
        <v>50.724637681159422</v>
      </c>
      <c r="I3" s="3">
        <f t="shared" si="2"/>
        <v>96.226415094339629</v>
      </c>
    </row>
    <row r="4" spans="1:9" x14ac:dyDescent="0.6">
      <c r="A4" t="s">
        <v>122</v>
      </c>
      <c r="B4" t="s">
        <v>123</v>
      </c>
      <c r="C4" s="2">
        <v>12370</v>
      </c>
      <c r="D4" s="2">
        <v>14309</v>
      </c>
      <c r="E4" s="2">
        <v>9345</v>
      </c>
      <c r="F4" s="2">
        <v>10138</v>
      </c>
      <c r="G4" s="3">
        <f t="shared" ref="G4" si="3">(C4-D4)/D4*100</f>
        <v>-13.550912013418129</v>
      </c>
      <c r="H4" s="3">
        <f t="shared" ref="H4" si="4">(C4-E4)/E4*100</f>
        <v>32.37025147137507</v>
      </c>
      <c r="I4" s="3">
        <f t="shared" ref="I4" si="5">(C4-F4)/F4*100</f>
        <v>22.016176760702308</v>
      </c>
    </row>
    <row r="5" spans="1:9" x14ac:dyDescent="0.6">
      <c r="A5" t="s">
        <v>12</v>
      </c>
      <c r="B5" t="s">
        <v>13</v>
      </c>
      <c r="C5" s="2">
        <v>87.06</v>
      </c>
      <c r="D5" s="2">
        <v>88.57</v>
      </c>
      <c r="E5" s="2">
        <v>85.66</v>
      </c>
      <c r="F5" s="2">
        <v>93.27</v>
      </c>
      <c r="G5" s="3">
        <f t="shared" si="0"/>
        <v>-1.7048662075194658</v>
      </c>
      <c r="H5" s="3">
        <f t="shared" si="1"/>
        <v>1.6343684333411226</v>
      </c>
      <c r="I5" s="3">
        <f t="shared" si="2"/>
        <v>-6.6580894178192285</v>
      </c>
    </row>
    <row r="6" spans="1:9" x14ac:dyDescent="0.6">
      <c r="A6" s="5" t="s">
        <v>14</v>
      </c>
      <c r="G6" s="3"/>
      <c r="H6" s="3"/>
      <c r="I6" s="3"/>
    </row>
    <row r="7" spans="1:9" x14ac:dyDescent="0.6">
      <c r="A7" t="s">
        <v>104</v>
      </c>
      <c r="B7" t="s">
        <v>105</v>
      </c>
      <c r="C7" s="2">
        <v>20.57</v>
      </c>
      <c r="D7" s="2">
        <v>22.51</v>
      </c>
      <c r="E7" s="2">
        <v>17.100000000000001</v>
      </c>
      <c r="F7" s="2">
        <v>15.57</v>
      </c>
      <c r="G7" s="3">
        <f t="shared" si="0"/>
        <v>-8.6183918258551806</v>
      </c>
      <c r="H7" s="3">
        <f t="shared" si="1"/>
        <v>20.292397660818708</v>
      </c>
      <c r="I7" s="3">
        <f t="shared" si="2"/>
        <v>32.113037893384714</v>
      </c>
    </row>
    <row r="8" spans="1:9" x14ac:dyDescent="0.6">
      <c r="A8" t="s">
        <v>106</v>
      </c>
      <c r="B8" t="s">
        <v>107</v>
      </c>
      <c r="C8" s="2">
        <v>34.22</v>
      </c>
      <c r="D8" s="2">
        <v>33.49</v>
      </c>
      <c r="E8" s="2">
        <v>38.97</v>
      </c>
      <c r="F8" s="2">
        <v>32.69</v>
      </c>
      <c r="G8" s="3">
        <f t="shared" si="0"/>
        <v>2.1797551507912716</v>
      </c>
      <c r="H8" s="3">
        <f t="shared" si="1"/>
        <v>-12.188863228124198</v>
      </c>
      <c r="I8" s="3">
        <f t="shared" si="2"/>
        <v>4.6803303762618578</v>
      </c>
    </row>
    <row r="9" spans="1:9" x14ac:dyDescent="0.6">
      <c r="A9" t="s">
        <v>111</v>
      </c>
      <c r="B9" t="s">
        <v>110</v>
      </c>
      <c r="C9" s="2">
        <v>74.81</v>
      </c>
      <c r="D9" s="2">
        <v>61.7</v>
      </c>
      <c r="E9" s="2">
        <v>36.53</v>
      </c>
      <c r="F9" s="2">
        <v>44.82</v>
      </c>
      <c r="G9" s="3">
        <f>(C9-D9)/D9*100</f>
        <v>21.247974068071311</v>
      </c>
      <c r="H9" s="3">
        <f>(C9-E9)/E9*100</f>
        <v>104.79058308239803</v>
      </c>
      <c r="I9" s="3">
        <f>(C9-F9)/F9*100</f>
        <v>66.912092815707283</v>
      </c>
    </row>
    <row r="10" spans="1:9" x14ac:dyDescent="0.6">
      <c r="A10" t="s">
        <v>112</v>
      </c>
      <c r="B10" t="s">
        <v>109</v>
      </c>
      <c r="C10" s="2">
        <v>5.21</v>
      </c>
      <c r="D10" s="2">
        <v>4.51</v>
      </c>
      <c r="E10" s="2">
        <v>4.83</v>
      </c>
      <c r="F10" s="2">
        <v>4.08</v>
      </c>
      <c r="G10" s="3">
        <f>(C10-D10)/D10*100</f>
        <v>15.521064301552112</v>
      </c>
      <c r="H10" s="3">
        <f>(C10-E10)/E10*100</f>
        <v>7.8674948240165605</v>
      </c>
      <c r="I10" s="3">
        <f>(C10-F10)/F10*100</f>
        <v>27.696078431372545</v>
      </c>
    </row>
    <row r="11" spans="1:9" x14ac:dyDescent="0.6">
      <c r="A11" t="s">
        <v>125</v>
      </c>
      <c r="B11" t="s">
        <v>126</v>
      </c>
      <c r="C11" s="2">
        <v>60.35</v>
      </c>
      <c r="D11" s="2">
        <v>59.01</v>
      </c>
      <c r="E11" s="2">
        <v>71.95</v>
      </c>
      <c r="F11" s="2">
        <v>77.5</v>
      </c>
      <c r="G11" s="3">
        <f t="shared" ref="G11" si="6">(C11-D11)/D11*100</f>
        <v>2.270801559057793</v>
      </c>
      <c r="H11" s="3">
        <f t="shared" ref="H11" si="7">(C11-E11)/E11*100</f>
        <v>-16.122307157748438</v>
      </c>
      <c r="I11" s="3">
        <f t="shared" ref="I11" si="8">(C11-F11)/F11*100</f>
        <v>-22.129032258064516</v>
      </c>
    </row>
    <row r="12" spans="1:9" x14ac:dyDescent="0.6">
      <c r="A12" t="s">
        <v>113</v>
      </c>
      <c r="B12" t="s">
        <v>108</v>
      </c>
      <c r="C12" s="2">
        <v>4332.01</v>
      </c>
      <c r="D12" s="2">
        <v>3856.12</v>
      </c>
      <c r="E12" s="2">
        <v>3381.7</v>
      </c>
      <c r="F12" s="2">
        <v>2642.21</v>
      </c>
      <c r="G12" s="3">
        <f>(C12-D12)/D12*100</f>
        <v>12.34116158210845</v>
      </c>
      <c r="H12" s="3">
        <f>(C12-E12)/E12*100</f>
        <v>28.10154655942279</v>
      </c>
      <c r="I12" s="3">
        <f>(C12-F12)/F12*100</f>
        <v>63.954038475367213</v>
      </c>
    </row>
  </sheetData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2"/>
  <sheetViews>
    <sheetView workbookViewId="0">
      <selection activeCell="B23" sqref="B23"/>
    </sheetView>
  </sheetViews>
  <sheetFormatPr defaultRowHeight="16.899999999999999" x14ac:dyDescent="0.6"/>
  <cols>
    <col min="1" max="1" width="24.75" bestFit="1" customWidth="1"/>
    <col min="2" max="6" width="14" customWidth="1"/>
    <col min="10" max="10" width="12.5" bestFit="1" customWidth="1"/>
  </cols>
  <sheetData>
    <row r="1" spans="1:11" ht="20.65" x14ac:dyDescent="0.7">
      <c r="A1" s="6" t="s">
        <v>15</v>
      </c>
    </row>
    <row r="3" spans="1:11" x14ac:dyDescent="0.6">
      <c r="A3" s="5" t="s">
        <v>16</v>
      </c>
    </row>
    <row r="4" spans="1:11" x14ac:dyDescent="0.6">
      <c r="A4" s="1" t="s">
        <v>17</v>
      </c>
      <c r="B4" s="1" t="s">
        <v>120</v>
      </c>
      <c r="C4" s="1" t="s">
        <v>18</v>
      </c>
      <c r="D4" s="1" t="s">
        <v>19</v>
      </c>
      <c r="E4" s="1" t="s">
        <v>20</v>
      </c>
      <c r="F4" s="1" t="s">
        <v>21</v>
      </c>
      <c r="J4" s="7" t="s">
        <v>22</v>
      </c>
      <c r="K4" s="8">
        <v>2</v>
      </c>
    </row>
    <row r="5" spans="1:11" x14ac:dyDescent="0.6">
      <c r="A5" t="s">
        <v>10</v>
      </c>
      <c r="B5" s="3">
        <f>Price_Data!G2</f>
        <v>2.2310080636154437</v>
      </c>
      <c r="C5" t="str">
        <f>IF(B5&gt;0,"🟢","🔴")</f>
        <v>🟢</v>
      </c>
      <c r="D5" s="3">
        <f>IF(B5&gt;0,B5,0)</f>
        <v>2.2310080636154437</v>
      </c>
      <c r="E5" s="9">
        <f>(1+D5/100)^$K$4</f>
        <v>1.0451179009703007</v>
      </c>
      <c r="F5" s="3">
        <f>E5/SUM($E$5:$E$6)*100</f>
        <v>39.480644849611487</v>
      </c>
    </row>
    <row r="6" spans="1:11" x14ac:dyDescent="0.6">
      <c r="A6" t="s">
        <v>11</v>
      </c>
      <c r="B6" s="3">
        <f>Price_Data!G3</f>
        <v>26.572008113590261</v>
      </c>
      <c r="C6" t="str">
        <f>IF(B6&gt;0,"🟢","🔴")</f>
        <v>🟢</v>
      </c>
      <c r="D6" s="3">
        <f>IF(B6&gt;0,B6,0)</f>
        <v>26.572008113590261</v>
      </c>
      <c r="E6" s="9">
        <f>(1+D6/100)^$K$4</f>
        <v>1.6020473237906758</v>
      </c>
      <c r="F6" s="3">
        <f>E6/SUM($E$5:$E$6)*100</f>
        <v>60.51935515038852</v>
      </c>
    </row>
    <row r="7" spans="1:11" x14ac:dyDescent="0.6">
      <c r="A7" t="str">
        <f>Price_Data!B4</f>
        <v>TIGER 차이나테크 TOP10</v>
      </c>
      <c r="B7" s="3">
        <f>Price_Data!G4</f>
        <v>-13.550912013418129</v>
      </c>
      <c r="C7" t="str">
        <f>IF(B7&gt;0,"🟢","🔴")</f>
        <v>🔴</v>
      </c>
      <c r="D7" s="3">
        <f>IF(B7&gt;0,B7,0)</f>
        <v>0</v>
      </c>
      <c r="E7" s="9">
        <f>(1+D7/100)^$K$4</f>
        <v>1</v>
      </c>
      <c r="F7" s="3">
        <v>0</v>
      </c>
    </row>
    <row r="8" spans="1:11" x14ac:dyDescent="0.6">
      <c r="D8" s="3"/>
      <c r="E8" s="9"/>
      <c r="F8" s="3"/>
    </row>
    <row r="10" spans="1:11" x14ac:dyDescent="0.6">
      <c r="A10" s="5" t="s">
        <v>23</v>
      </c>
    </row>
    <row r="11" spans="1:11" x14ac:dyDescent="0.6">
      <c r="A11" s="1" t="s">
        <v>17</v>
      </c>
      <c r="B11" s="1" t="s">
        <v>120</v>
      </c>
      <c r="C11" s="1" t="s">
        <v>18</v>
      </c>
      <c r="D11" s="1" t="s">
        <v>19</v>
      </c>
      <c r="E11" s="1" t="s">
        <v>20</v>
      </c>
      <c r="F11" s="1" t="s">
        <v>21</v>
      </c>
      <c r="J11" s="7" t="s">
        <v>22</v>
      </c>
      <c r="K11" s="8">
        <v>1.5</v>
      </c>
    </row>
    <row r="12" spans="1:11" x14ac:dyDescent="0.6">
      <c r="A12" t="s">
        <v>24</v>
      </c>
      <c r="B12" s="3">
        <f>Price_Data!G5</f>
        <v>-1.7048662075194658</v>
      </c>
      <c r="C12" t="str">
        <f>IF(B12&gt;0,"🟢","🔴")</f>
        <v>🔴</v>
      </c>
      <c r="D12" s="3">
        <f>IF(B12&gt;0,B12,0)</f>
        <v>0</v>
      </c>
      <c r="E12" s="9">
        <f>(1+D12/100)^$K$11</f>
        <v>1</v>
      </c>
      <c r="F12" s="3">
        <f>E12/SUM($E$12:$E$12)*100</f>
        <v>100</v>
      </c>
    </row>
    <row r="15" spans="1:11" x14ac:dyDescent="0.6">
      <c r="A15" s="5" t="s">
        <v>25</v>
      </c>
    </row>
    <row r="16" spans="1:11" x14ac:dyDescent="0.6">
      <c r="A16" s="1" t="s">
        <v>26</v>
      </c>
      <c r="B16" s="1" t="s">
        <v>120</v>
      </c>
      <c r="C16" s="1" t="s">
        <v>18</v>
      </c>
      <c r="D16" s="1" t="s">
        <v>27</v>
      </c>
    </row>
    <row r="17" spans="1:4" x14ac:dyDescent="0.6">
      <c r="A17" t="str">
        <f>Price_Data!B7</f>
        <v>Frontline Plc</v>
      </c>
      <c r="B17" s="3">
        <f>Price_Data!G7</f>
        <v>-8.6183918258551806</v>
      </c>
      <c r="C17" t="str">
        <f>IF(B17&gt;0,"🟢","🔴")</f>
        <v>🔴</v>
      </c>
      <c r="D17" t="str">
        <f>IF(B17&gt;0,"🟢 보유","🔴 제외")</f>
        <v>🔴 제외</v>
      </c>
    </row>
    <row r="18" spans="1:4" x14ac:dyDescent="0.6">
      <c r="A18" t="str">
        <f>Price_Data!B8</f>
        <v>Antero Resources Corp</v>
      </c>
      <c r="B18" s="3">
        <f>Price_Data!G8</f>
        <v>2.1797551507912716</v>
      </c>
      <c r="C18" t="str">
        <f t="shared" ref="C18:C22" si="0">IF(B18&gt;0,"🟢","🔴")</f>
        <v>🟢</v>
      </c>
      <c r="D18" t="str">
        <f t="shared" ref="D18:D22" si="1">IF(B18&gt;0,"🟢 보유","🔴 제외")</f>
        <v>🟢 보유</v>
      </c>
    </row>
    <row r="19" spans="1:4" x14ac:dyDescent="0.6">
      <c r="A19" t="str">
        <f>Price_Data!B12</f>
        <v>금</v>
      </c>
      <c r="B19" s="3">
        <f>Price_Data!G9</f>
        <v>21.247974068071311</v>
      </c>
      <c r="C19" t="str">
        <f>IF(B19&gt;0,"🟢","🔴")</f>
        <v>🟢</v>
      </c>
      <c r="D19" t="str">
        <f t="shared" si="1"/>
        <v>🟢 보유</v>
      </c>
    </row>
    <row r="20" spans="1:4" x14ac:dyDescent="0.6">
      <c r="A20" t="str">
        <f>Price_Data!B9</f>
        <v>희토류</v>
      </c>
      <c r="B20" s="3">
        <f>Price_Data!G10</f>
        <v>15.521064301552112</v>
      </c>
      <c r="C20" t="str">
        <f t="shared" si="0"/>
        <v>🟢</v>
      </c>
      <c r="D20" t="str">
        <f t="shared" si="1"/>
        <v>🟢 보유</v>
      </c>
    </row>
    <row r="21" spans="1:4" x14ac:dyDescent="0.6">
      <c r="A21" t="str">
        <f>Price_Data!B10</f>
        <v>구리</v>
      </c>
      <c r="B21" s="3">
        <f>Price_Data!G11</f>
        <v>2.270801559057793</v>
      </c>
      <c r="C21" t="str">
        <f t="shared" si="0"/>
        <v>🟢</v>
      </c>
      <c r="D21" t="str">
        <f t="shared" si="1"/>
        <v>🟢 보유</v>
      </c>
    </row>
    <row r="22" spans="1:4" x14ac:dyDescent="0.6">
      <c r="A22" t="str">
        <f>Price_Data!B11</f>
        <v>Sportt Uranium Miners ETF</v>
      </c>
      <c r="B22" s="3">
        <f>Price_Data!G12</f>
        <v>12.34116158210845</v>
      </c>
      <c r="C22" t="str">
        <f t="shared" si="0"/>
        <v>🟢</v>
      </c>
      <c r="D22" t="str">
        <f t="shared" si="1"/>
        <v>🟢 보유</v>
      </c>
    </row>
  </sheetData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9"/>
  <sheetViews>
    <sheetView workbookViewId="0">
      <selection activeCell="D27" sqref="D27"/>
    </sheetView>
  </sheetViews>
  <sheetFormatPr defaultRowHeight="16.899999999999999" x14ac:dyDescent="0.6"/>
  <cols>
    <col min="1" max="1" width="20" customWidth="1"/>
    <col min="2" max="2" width="15" customWidth="1"/>
    <col min="3" max="3" width="20" customWidth="1"/>
  </cols>
  <sheetData>
    <row r="1" spans="1:3" ht="20.65" x14ac:dyDescent="0.7">
      <c r="A1" s="6" t="s">
        <v>28</v>
      </c>
    </row>
    <row r="3" spans="1:3" x14ac:dyDescent="0.6">
      <c r="A3" s="5" t="s">
        <v>119</v>
      </c>
    </row>
    <row r="4" spans="1:3" x14ac:dyDescent="0.6">
      <c r="A4" t="s">
        <v>116</v>
      </c>
      <c r="B4" s="8">
        <v>80</v>
      </c>
      <c r="C4" t="s">
        <v>29</v>
      </c>
    </row>
    <row r="5" spans="1:3" x14ac:dyDescent="0.6">
      <c r="A5" t="s">
        <v>30</v>
      </c>
      <c r="B5" s="10">
        <f>100-B4</f>
        <v>20</v>
      </c>
      <c r="C5" t="s">
        <v>31</v>
      </c>
    </row>
    <row r="7" spans="1:3" hidden="1" x14ac:dyDescent="0.6">
      <c r="A7" s="7" t="s">
        <v>32</v>
      </c>
    </row>
    <row r="8" spans="1:3" hidden="1" x14ac:dyDescent="0.6">
      <c r="A8" t="s">
        <v>33</v>
      </c>
      <c r="B8" s="11" t="s">
        <v>34</v>
      </c>
    </row>
    <row r="9" spans="1:3" hidden="1" x14ac:dyDescent="0.6">
      <c r="A9" t="s">
        <v>35</v>
      </c>
      <c r="B9" s="11" t="s">
        <v>36</v>
      </c>
    </row>
    <row r="10" spans="1:3" hidden="1" x14ac:dyDescent="0.6">
      <c r="A10" t="s">
        <v>37</v>
      </c>
      <c r="B10" s="11" t="s">
        <v>38</v>
      </c>
    </row>
    <row r="11" spans="1:3" hidden="1" x14ac:dyDescent="0.6"/>
    <row r="13" spans="1:3" x14ac:dyDescent="0.6">
      <c r="A13" s="5" t="s">
        <v>39</v>
      </c>
    </row>
    <row r="14" spans="1:3" x14ac:dyDescent="0.6">
      <c r="A14" t="s">
        <v>40</v>
      </c>
      <c r="B14" s="8">
        <v>50</v>
      </c>
      <c r="C14" t="s">
        <v>41</v>
      </c>
    </row>
    <row r="15" spans="1:3" x14ac:dyDescent="0.6">
      <c r="A15" t="s">
        <v>42</v>
      </c>
      <c r="B15" s="10">
        <f>100-B14</f>
        <v>50</v>
      </c>
      <c r="C15" t="s">
        <v>31</v>
      </c>
    </row>
    <row r="17" spans="1:2" x14ac:dyDescent="0.6">
      <c r="A17" s="7"/>
    </row>
    <row r="18" spans="1:2" x14ac:dyDescent="0.6">
      <c r="B18" s="11"/>
    </row>
    <row r="19" spans="1:2" x14ac:dyDescent="0.6">
      <c r="B19" s="11"/>
    </row>
  </sheetData>
  <phoneticPr fontId="7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3"/>
  <sheetViews>
    <sheetView workbookViewId="0">
      <selection activeCell="E12" sqref="E12"/>
    </sheetView>
  </sheetViews>
  <sheetFormatPr defaultRowHeight="16.899999999999999" x14ac:dyDescent="0.6"/>
  <cols>
    <col min="1" max="1" width="32.875" bestFit="1" customWidth="1"/>
    <col min="2" max="4" width="14" customWidth="1"/>
    <col min="5" max="5" width="12" customWidth="1"/>
  </cols>
  <sheetData>
    <row r="1" spans="1:7" ht="20.65" x14ac:dyDescent="0.7">
      <c r="A1" s="6" t="s">
        <v>43</v>
      </c>
    </row>
    <row r="3" spans="1:7" x14ac:dyDescent="0.6">
      <c r="A3" t="s">
        <v>44</v>
      </c>
      <c r="B3" s="4">
        <f>9600000+3000000</f>
        <v>12600000</v>
      </c>
    </row>
    <row r="4" spans="1:7" x14ac:dyDescent="0.6">
      <c r="A4" t="s">
        <v>117</v>
      </c>
      <c r="B4" s="12">
        <f>Asset_Allocation!B4/100</f>
        <v>0.8</v>
      </c>
    </row>
    <row r="5" spans="1:7" x14ac:dyDescent="0.6">
      <c r="A5" t="s">
        <v>118</v>
      </c>
      <c r="B5" s="13">
        <f>B3*B4</f>
        <v>10080000</v>
      </c>
    </row>
    <row r="6" spans="1:7" x14ac:dyDescent="0.6">
      <c r="A6" t="s">
        <v>118</v>
      </c>
      <c r="B6" s="12">
        <f>Asset_Allocation!B14/100</f>
        <v>0.5</v>
      </c>
    </row>
    <row r="7" spans="1:7" x14ac:dyDescent="0.6">
      <c r="A7" t="s">
        <v>47</v>
      </c>
      <c r="B7" s="14">
        <f>B5*B6</f>
        <v>5040000</v>
      </c>
    </row>
    <row r="9" spans="1:7" x14ac:dyDescent="0.6">
      <c r="A9" s="1" t="s">
        <v>48</v>
      </c>
      <c r="B9" s="1" t="s">
        <v>21</v>
      </c>
      <c r="C9" s="1" t="s">
        <v>49</v>
      </c>
      <c r="D9" s="1" t="s">
        <v>50</v>
      </c>
      <c r="E9" s="1" t="s">
        <v>0</v>
      </c>
    </row>
    <row r="10" spans="1:7" x14ac:dyDescent="0.6">
      <c r="A10" t="str">
        <f>Price_Data!B2</f>
        <v>S&amp;P500</v>
      </c>
      <c r="B10" s="12">
        <f>Momentum_Calc!F5/100</f>
        <v>0.39480644849611485</v>
      </c>
      <c r="C10" s="12">
        <f>IF(Momentum_Calc!C5="🟢",B10,0)</f>
        <v>0.39480644849611485</v>
      </c>
      <c r="D10" s="13">
        <f>$B$7*C10</f>
        <v>1989824.5004204188</v>
      </c>
      <c r="E10" t="str">
        <f>Price_Data!A2</f>
        <v>SPY</v>
      </c>
      <c r="F10">
        <v>709180</v>
      </c>
      <c r="G10" s="13">
        <f>D10-F10</f>
        <v>1280644.5004204188</v>
      </c>
    </row>
    <row r="11" spans="1:7" x14ac:dyDescent="0.6">
      <c r="A11" t="str">
        <f>Price_Data!B3</f>
        <v>KOSPI200</v>
      </c>
      <c r="B11" s="12">
        <f>Momentum_Calc!F6/100</f>
        <v>0.60519355150388521</v>
      </c>
      <c r="C11" s="12">
        <f>IF(Momentum_Calc!C6="🟢",B11,0)</f>
        <v>0.60519355150388521</v>
      </c>
      <c r="D11" s="13">
        <f>$B$7*C11</f>
        <v>3050175.4995795814</v>
      </c>
      <c r="E11" t="str">
        <f>Price_Data!A3</f>
        <v>K51</v>
      </c>
      <c r="F11">
        <v>1330000</v>
      </c>
      <c r="G11" s="13">
        <f>D11-F11</f>
        <v>1720175.4995795814</v>
      </c>
    </row>
    <row r="12" spans="1:7" x14ac:dyDescent="0.6">
      <c r="A12" t="str">
        <f>Price_Data!B4</f>
        <v>TIGER 차이나테크 TOP10</v>
      </c>
      <c r="B12" s="12">
        <f>Momentum_Calc!F7/100</f>
        <v>0</v>
      </c>
      <c r="C12" s="12">
        <f>IF(Momentum_Calc!C7="🟢",B12,0)</f>
        <v>0</v>
      </c>
      <c r="D12" s="13">
        <f>$B$7*C12</f>
        <v>0</v>
      </c>
      <c r="E12" t="str">
        <f>Price_Data!A4</f>
        <v>0047A0</v>
      </c>
      <c r="F12">
        <v>549610</v>
      </c>
      <c r="G12" s="13">
        <f>D12-F12</f>
        <v>-549610</v>
      </c>
    </row>
    <row r="13" spans="1:7" x14ac:dyDescent="0.6">
      <c r="A13" s="7" t="s">
        <v>51</v>
      </c>
      <c r="C13" s="12">
        <f>SUM(C10:C12)</f>
        <v>1</v>
      </c>
      <c r="D13" s="14">
        <f>SUM(D10:D12)</f>
        <v>5040000</v>
      </c>
    </row>
  </sheetData>
  <phoneticPr fontId="7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9"/>
  <sheetViews>
    <sheetView workbookViewId="0">
      <selection activeCell="H15" sqref="H15"/>
    </sheetView>
  </sheetViews>
  <sheetFormatPr defaultRowHeight="16.899999999999999" x14ac:dyDescent="0.6"/>
  <cols>
    <col min="1" max="1" width="18" customWidth="1"/>
    <col min="2" max="4" width="14" customWidth="1"/>
    <col min="5" max="5" width="12" customWidth="1"/>
  </cols>
  <sheetData>
    <row r="1" spans="1:7" ht="20.65" x14ac:dyDescent="0.7">
      <c r="A1" s="6" t="s">
        <v>52</v>
      </c>
    </row>
    <row r="3" spans="1:7" x14ac:dyDescent="0.6">
      <c r="A3" t="s">
        <v>44</v>
      </c>
      <c r="B3" s="13">
        <f>Core_Allocation!B3</f>
        <v>12600000</v>
      </c>
    </row>
    <row r="4" spans="1:7" x14ac:dyDescent="0.6">
      <c r="A4" t="s">
        <v>53</v>
      </c>
      <c r="B4" s="12">
        <f>Asset_Allocation!B5/100</f>
        <v>0.2</v>
      </c>
    </row>
    <row r="5" spans="1:7" x14ac:dyDescent="0.6">
      <c r="A5" t="s">
        <v>54</v>
      </c>
      <c r="B5" s="14">
        <f>B3*B4</f>
        <v>2520000</v>
      </c>
    </row>
    <row r="7" spans="1:7" x14ac:dyDescent="0.6">
      <c r="A7" s="1" t="s">
        <v>55</v>
      </c>
      <c r="B7" s="1" t="s">
        <v>21</v>
      </c>
      <c r="C7" s="1" t="s">
        <v>49</v>
      </c>
      <c r="D7" s="1" t="s">
        <v>50</v>
      </c>
      <c r="E7" s="1" t="s">
        <v>0</v>
      </c>
    </row>
    <row r="8" spans="1:7" x14ac:dyDescent="0.6">
      <c r="A8" t="s">
        <v>24</v>
      </c>
      <c r="B8" s="12">
        <f>Momentum_Calc!F12/100</f>
        <v>1</v>
      </c>
      <c r="C8" s="12">
        <f>B8</f>
        <v>1</v>
      </c>
      <c r="D8" s="13">
        <f>$B$5*C8</f>
        <v>2520000</v>
      </c>
      <c r="E8" t="s">
        <v>12</v>
      </c>
      <c r="F8">
        <v>1324670</v>
      </c>
      <c r="G8" s="13">
        <f>D8-F8</f>
        <v>1195330</v>
      </c>
    </row>
    <row r="9" spans="1:7" x14ac:dyDescent="0.6">
      <c r="A9" s="7" t="s">
        <v>51</v>
      </c>
      <c r="C9" s="12">
        <f>SUM(C8:C8)</f>
        <v>1</v>
      </c>
      <c r="D9" s="14">
        <f>SUM(D8:D8)</f>
        <v>2520000</v>
      </c>
    </row>
  </sheetData>
  <phoneticPr fontId="7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4"/>
  <sheetViews>
    <sheetView tabSelected="1" workbookViewId="0">
      <selection activeCell="D18" sqref="D18"/>
    </sheetView>
  </sheetViews>
  <sheetFormatPr defaultRowHeight="16.899999999999999" x14ac:dyDescent="0.6"/>
  <cols>
    <col min="1" max="1" width="16" customWidth="1"/>
    <col min="2" max="6" width="13" customWidth="1"/>
    <col min="7" max="7" width="10" customWidth="1"/>
  </cols>
  <sheetData>
    <row r="1" spans="1:9" ht="20.65" x14ac:dyDescent="0.7">
      <c r="A1" s="6" t="s">
        <v>56</v>
      </c>
    </row>
    <row r="3" spans="1:9" x14ac:dyDescent="0.6">
      <c r="A3" t="s">
        <v>44</v>
      </c>
      <c r="B3" s="13">
        <f>Core_Allocation!B3</f>
        <v>12600000</v>
      </c>
    </row>
    <row r="4" spans="1:9" x14ac:dyDescent="0.6">
      <c r="A4" t="s">
        <v>45</v>
      </c>
      <c r="B4" s="12">
        <f>Asset_Allocation!B4/100</f>
        <v>0.8</v>
      </c>
    </row>
    <row r="5" spans="1:9" x14ac:dyDescent="0.6">
      <c r="A5" t="s">
        <v>46</v>
      </c>
      <c r="B5" s="13">
        <f>B3*B4</f>
        <v>10080000</v>
      </c>
    </row>
    <row r="6" spans="1:9" x14ac:dyDescent="0.6">
      <c r="A6" t="s">
        <v>57</v>
      </c>
      <c r="B6" s="12">
        <f>Asset_Allocation!B15/100</f>
        <v>0.5</v>
      </c>
    </row>
    <row r="7" spans="1:9" x14ac:dyDescent="0.6">
      <c r="A7" t="s">
        <v>58</v>
      </c>
      <c r="B7" s="14">
        <f>B5*B6</f>
        <v>5040000</v>
      </c>
    </row>
    <row r="9" spans="1:9" x14ac:dyDescent="0.6">
      <c r="A9" s="1" t="s">
        <v>59</v>
      </c>
      <c r="B9" s="1" t="s">
        <v>121</v>
      </c>
      <c r="C9" s="1" t="s">
        <v>18</v>
      </c>
      <c r="D9" s="1" t="s">
        <v>60</v>
      </c>
      <c r="E9" s="1" t="s">
        <v>61</v>
      </c>
      <c r="F9" s="1" t="s">
        <v>62</v>
      </c>
      <c r="G9" s="1" t="s">
        <v>0</v>
      </c>
    </row>
    <row r="10" spans="1:9" x14ac:dyDescent="0.6">
      <c r="A10" t="str">
        <f>Price_Data!B7</f>
        <v>Frontline Plc</v>
      </c>
      <c r="B10" s="12">
        <f>Momentum_Calc!B17/100</f>
        <v>-8.6183918258551803E-2</v>
      </c>
      <c r="C10" t="str">
        <f>Momentum_Calc!C17</f>
        <v>🔴</v>
      </c>
      <c r="D10" s="11" t="s">
        <v>115</v>
      </c>
      <c r="E10" s="15">
        <v>0.25</v>
      </c>
      <c r="F10" s="13">
        <f>$B$7*E10</f>
        <v>1260000</v>
      </c>
      <c r="G10" t="str">
        <f>Price_Data!A7</f>
        <v>FRO</v>
      </c>
      <c r="H10">
        <v>912648</v>
      </c>
      <c r="I10" s="13">
        <f>F10-H10</f>
        <v>347352</v>
      </c>
    </row>
    <row r="11" spans="1:9" x14ac:dyDescent="0.6">
      <c r="A11" t="str">
        <f>Price_Data!B8</f>
        <v>Antero Resources Corp</v>
      </c>
      <c r="B11" s="12">
        <f>Momentum_Calc!B18/100</f>
        <v>2.1797551507912717E-2</v>
      </c>
      <c r="C11" t="str">
        <f>Momentum_Calc!C18</f>
        <v>🟢</v>
      </c>
      <c r="D11" s="11" t="s">
        <v>124</v>
      </c>
      <c r="E11" s="15">
        <v>0.25</v>
      </c>
      <c r="F11" s="13">
        <f>$B$7*E11</f>
        <v>1260000</v>
      </c>
      <c r="G11" t="str">
        <f>Price_Data!A8</f>
        <v>AR</v>
      </c>
      <c r="H11">
        <v>1006348</v>
      </c>
      <c r="I11" s="13">
        <f>F11-H11</f>
        <v>253652</v>
      </c>
    </row>
    <row r="12" spans="1:9" x14ac:dyDescent="0.6">
      <c r="A12" t="str">
        <f>Price_Data!B12</f>
        <v>금</v>
      </c>
      <c r="B12" s="12">
        <f>Momentum_Calc!B19/100</f>
        <v>0.21247974068071313</v>
      </c>
      <c r="C12" t="str">
        <f>Momentum_Calc!C19</f>
        <v>🟢</v>
      </c>
      <c r="D12" s="11" t="s">
        <v>63</v>
      </c>
      <c r="E12" s="15">
        <v>0.4</v>
      </c>
      <c r="F12" s="13">
        <f>$B$7*E12</f>
        <v>2016000</v>
      </c>
      <c r="G12" t="str">
        <f>Price_Data!A12</f>
        <v>GC1</v>
      </c>
      <c r="H12">
        <v>939080</v>
      </c>
      <c r="I12" s="13">
        <f>F12-H12</f>
        <v>1076920</v>
      </c>
    </row>
    <row r="13" spans="1:9" x14ac:dyDescent="0.6">
      <c r="A13" t="str">
        <f>Price_Data!B11</f>
        <v>Sportt Uranium Miners ETF</v>
      </c>
      <c r="B13" s="12">
        <f>Momentum_Calc!B22/100</f>
        <v>0.12341161582108449</v>
      </c>
      <c r="C13" t="str">
        <f>Momentum_Calc!C22</f>
        <v>🟢</v>
      </c>
      <c r="D13" s="11" t="s">
        <v>115</v>
      </c>
      <c r="E13" s="15">
        <v>0.1</v>
      </c>
      <c r="F13" s="13">
        <f>$B$7*E13</f>
        <v>504000</v>
      </c>
      <c r="G13" t="str">
        <f>Price_Data!A11</f>
        <v>URNM</v>
      </c>
      <c r="I13" s="13"/>
    </row>
    <row r="14" spans="1:9" x14ac:dyDescent="0.6">
      <c r="A14" s="7" t="s">
        <v>51</v>
      </c>
      <c r="E14" s="12">
        <f>SUM(E10:E13)</f>
        <v>1</v>
      </c>
      <c r="F14" s="14">
        <f>SUM(F10:F12)</f>
        <v>4536000</v>
      </c>
    </row>
  </sheetData>
  <phoneticPr fontId="7" type="noConversion"/>
  <pageMargins left="0.75" right="0.75" top="1" bottom="1" header="0.5" footer="0.5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7"/>
  <sheetViews>
    <sheetView workbookViewId="0">
      <selection activeCell="B11" sqref="B11"/>
    </sheetView>
  </sheetViews>
  <sheetFormatPr defaultRowHeight="16.899999999999999" x14ac:dyDescent="0.6"/>
  <cols>
    <col min="1" max="2" width="12" customWidth="1"/>
    <col min="3" max="3" width="10" customWidth="1"/>
    <col min="4" max="5" width="12" customWidth="1"/>
    <col min="6" max="6" width="10" customWidth="1"/>
    <col min="8" max="10" width="12" customWidth="1"/>
    <col min="11" max="11" width="18" customWidth="1"/>
  </cols>
  <sheetData>
    <row r="1" spans="1:11" ht="20.65" x14ac:dyDescent="0.7">
      <c r="A1" s="6" t="s">
        <v>64</v>
      </c>
    </row>
    <row r="2" spans="1:11" x14ac:dyDescent="0.6">
      <c r="A2" t="s">
        <v>65</v>
      </c>
      <c r="B2" s="22">
        <v>45965</v>
      </c>
    </row>
    <row r="4" spans="1:11" x14ac:dyDescent="0.6">
      <c r="A4" s="5" t="s">
        <v>67</v>
      </c>
    </row>
    <row r="5" spans="1:11" x14ac:dyDescent="0.6">
      <c r="A5" s="1" t="s">
        <v>26</v>
      </c>
      <c r="B5" s="1" t="s">
        <v>0</v>
      </c>
      <c r="C5" s="1" t="s">
        <v>68</v>
      </c>
      <c r="D5" s="1" t="s">
        <v>2</v>
      </c>
      <c r="E5" s="1" t="s">
        <v>69</v>
      </c>
      <c r="F5" s="1" t="s">
        <v>61</v>
      </c>
      <c r="G5" s="1"/>
      <c r="H5" s="1" t="s">
        <v>70</v>
      </c>
      <c r="I5" s="1" t="s">
        <v>71</v>
      </c>
      <c r="J5" s="1" t="s">
        <v>72</v>
      </c>
      <c r="K5" s="1" t="s">
        <v>73</v>
      </c>
    </row>
    <row r="6" spans="1:11" x14ac:dyDescent="0.6">
      <c r="A6" t="str">
        <f>Price_Data!B2</f>
        <v>S&amp;P500</v>
      </c>
      <c r="B6" t="str">
        <f>Price_Data!A2</f>
        <v>SPY</v>
      </c>
      <c r="C6" s="11">
        <v>10</v>
      </c>
      <c r="D6" s="16">
        <f>Price_Data!C2</f>
        <v>6865.17</v>
      </c>
      <c r="E6" s="13">
        <f t="shared" ref="E6:E12" si="0">C6*D6</f>
        <v>68651.7</v>
      </c>
      <c r="F6" s="12">
        <f t="shared" ref="F6:F12" si="1">E6/SUM($E$6:$E$12)</f>
        <v>2.1167354550113125E-2</v>
      </c>
      <c r="H6" s="12" t="e">
        <f>Core_Allocation!D10/SUM(Core_Allocation!D10,Core_Allocation!D11,Core_Allocation!D12,Core_Allocation!#REF!,Bond_Allocation!D8,Bond_Allocation!#REF!,Satellite_Selection!F10,Satellite_Selection!F11,Satellite_Selection!F12)</f>
        <v>#REF!</v>
      </c>
      <c r="I6" s="13">
        <f>Core_Allocation!D10</f>
        <v>1989824.5004204188</v>
      </c>
      <c r="J6" s="13">
        <f t="shared" ref="J6:J12" si="2">I6-E6</f>
        <v>1921172.8004204188</v>
      </c>
      <c r="K6" t="str">
        <f t="shared" ref="K6:K12" si="3">IF(J6&gt;50000,"매수 ₩"&amp;TEXT(J6,"#,##0"),IF(J6&lt;-50000,"매도 ₩"&amp;TEXT(ABS(J6),"#,##0"),"유지"))</f>
        <v>매수 ₩1,921,173</v>
      </c>
    </row>
    <row r="7" spans="1:11" x14ac:dyDescent="0.6">
      <c r="A7" t="str">
        <f>Price_Data!B3</f>
        <v>KOSPI200</v>
      </c>
      <c r="B7" t="str">
        <f>Price_Data!A3</f>
        <v>K51</v>
      </c>
      <c r="C7" s="11">
        <v>350</v>
      </c>
      <c r="D7" s="16">
        <f>Price_Data!C3</f>
        <v>624</v>
      </c>
      <c r="E7" s="13">
        <f t="shared" si="0"/>
        <v>218400</v>
      </c>
      <c r="F7" s="12">
        <f t="shared" si="1"/>
        <v>6.7339195296616208E-2</v>
      </c>
      <c r="H7" s="12" t="e">
        <f>Core_Allocation!D11/SUM(Core_Allocation!D10,Core_Allocation!D11,Core_Allocation!D12,Core_Allocation!#REF!,Bond_Allocation!D8,Bond_Allocation!#REF!,Satellite_Selection!F10,Satellite_Selection!F11,Satellite_Selection!F12)</f>
        <v>#REF!</v>
      </c>
      <c r="I7" s="13">
        <f>Core_Allocation!D11</f>
        <v>3050175.4995795814</v>
      </c>
      <c r="J7" s="13">
        <f t="shared" si="2"/>
        <v>2831775.4995795814</v>
      </c>
      <c r="K7" t="str">
        <f t="shared" si="3"/>
        <v>매수 ₩2,831,775</v>
      </c>
    </row>
    <row r="8" spans="1:11" x14ac:dyDescent="0.6">
      <c r="A8" t="str">
        <f>Price_Data!B4</f>
        <v>TIGER 차이나테크 TOP10</v>
      </c>
      <c r="B8" t="str">
        <f>Price_Data!A4</f>
        <v>0047A0</v>
      </c>
      <c r="C8" s="11">
        <v>100</v>
      </c>
      <c r="D8" s="16">
        <f>Price_Data!C4</f>
        <v>12370</v>
      </c>
      <c r="E8" s="13">
        <f t="shared" si="0"/>
        <v>1237000</v>
      </c>
      <c r="F8" s="12">
        <f t="shared" si="1"/>
        <v>0.38140377555821542</v>
      </c>
      <c r="H8" s="12" t="e">
        <f>Core_Allocation!D12/SUM(Core_Allocation!D10,Core_Allocation!D11,Core_Allocation!D12,Core_Allocation!#REF!,Bond_Allocation!D8,Bond_Allocation!#REF!,Satellite_Selection!F10,Satellite_Selection!F11,Satellite_Selection!F12)</f>
        <v>#REF!</v>
      </c>
      <c r="I8" s="13">
        <f>Core_Allocation!D12</f>
        <v>0</v>
      </c>
      <c r="J8" s="13">
        <f t="shared" si="2"/>
        <v>-1237000</v>
      </c>
      <c r="K8" t="str">
        <f t="shared" si="3"/>
        <v>매도 ₩1,237,000</v>
      </c>
    </row>
    <row r="9" spans="1:11" x14ac:dyDescent="0.6">
      <c r="A9" t="str">
        <f>Price_Data!B5</f>
        <v>미국채 20년</v>
      </c>
      <c r="B9" t="str">
        <f>Price_Data!A5</f>
        <v>TLT</v>
      </c>
      <c r="C9" s="11">
        <v>50</v>
      </c>
      <c r="D9" s="16">
        <f>Price_Data!C5</f>
        <v>87.06</v>
      </c>
      <c r="E9" s="13">
        <f t="shared" si="0"/>
        <v>4353</v>
      </c>
      <c r="F9" s="12">
        <f t="shared" si="1"/>
        <v>1.3421589612004137E-3</v>
      </c>
      <c r="H9" s="12" t="e">
        <f>Core_Allocation!#REF!/SUM(Core_Allocation!D10,Core_Allocation!D11,Core_Allocation!D12,Core_Allocation!#REF!,Bond_Allocation!D8,Bond_Allocation!#REF!,Satellite_Selection!F10,Satellite_Selection!F11,Satellite_Selection!F12)</f>
        <v>#REF!</v>
      </c>
      <c r="I9" s="13" t="e">
        <f>Core_Allocation!#REF!</f>
        <v>#REF!</v>
      </c>
      <c r="J9" s="13" t="e">
        <f t="shared" si="2"/>
        <v>#REF!</v>
      </c>
      <c r="K9" t="e">
        <f t="shared" si="3"/>
        <v>#REF!</v>
      </c>
    </row>
    <row r="10" spans="1:11" x14ac:dyDescent="0.6">
      <c r="A10" t="str">
        <f>Price_Data!B7</f>
        <v>Frontline Plc</v>
      </c>
      <c r="B10" t="str">
        <f>Price_Data!A7</f>
        <v>FRO</v>
      </c>
      <c r="C10" s="11">
        <v>23</v>
      </c>
      <c r="D10" s="16">
        <f>Price_Data!C7</f>
        <v>20.57</v>
      </c>
      <c r="E10" s="13">
        <v>779605</v>
      </c>
      <c r="F10" s="12">
        <f t="shared" si="1"/>
        <v>0.24037533584806994</v>
      </c>
      <c r="H10" s="12" t="e">
        <f>Bond_Allocation!D8/SUM(Core_Allocation!D10,Core_Allocation!D11,Core_Allocation!D12,Core_Allocation!#REF!,Bond_Allocation!D8,Bond_Allocation!#REF!,Satellite_Selection!F10,Satellite_Selection!F11,Satellite_Selection!F12)</f>
        <v>#REF!</v>
      </c>
      <c r="I10" s="13">
        <f>Bond_Allocation!D8</f>
        <v>2520000</v>
      </c>
      <c r="J10" s="13">
        <f t="shared" si="2"/>
        <v>1740395</v>
      </c>
      <c r="K10" t="str">
        <f t="shared" si="3"/>
        <v>매수 ₩1,740,395</v>
      </c>
    </row>
    <row r="11" spans="1:11" x14ac:dyDescent="0.6">
      <c r="A11" t="str">
        <f>Price_Data!B8</f>
        <v>Antero Resources Corp</v>
      </c>
      <c r="B11" t="str">
        <f>Price_Data!A8</f>
        <v>AR</v>
      </c>
      <c r="C11" s="11">
        <v>17</v>
      </c>
      <c r="D11" s="16">
        <f>Price_Data!C8</f>
        <v>34.22</v>
      </c>
      <c r="E11" s="13">
        <v>805312</v>
      </c>
      <c r="F11" s="12">
        <f t="shared" si="1"/>
        <v>0.2483015661296181</v>
      </c>
      <c r="H11" s="12" t="e">
        <f>Bond_Allocation!#REF!/SUM(Core_Allocation!D10,Core_Allocation!D11,Core_Allocation!D12,Core_Allocation!#REF!,Bond_Allocation!D8,Bond_Allocation!#REF!,Satellite_Selection!F10,Satellite_Selection!F11,Satellite_Selection!F12)</f>
        <v>#REF!</v>
      </c>
      <c r="I11" s="13" t="e">
        <f>Bond_Allocation!#REF!</f>
        <v>#REF!</v>
      </c>
      <c r="J11" s="13" t="e">
        <f t="shared" si="2"/>
        <v>#REF!</v>
      </c>
      <c r="K11" t="e">
        <f t="shared" si="3"/>
        <v>#REF!</v>
      </c>
    </row>
    <row r="12" spans="1:11" x14ac:dyDescent="0.6">
      <c r="A12" t="str">
        <f>Price_Data!B12</f>
        <v>금</v>
      </c>
      <c r="B12" t="str">
        <f>Price_Data!A12</f>
        <v>GC1</v>
      </c>
      <c r="C12" s="11">
        <v>30</v>
      </c>
      <c r="D12" s="16">
        <f>Price_Data!C12</f>
        <v>4332.01</v>
      </c>
      <c r="E12" s="13">
        <f t="shared" si="0"/>
        <v>129960.3</v>
      </c>
      <c r="F12" s="12">
        <f t="shared" si="1"/>
        <v>4.0070613656166806E-2</v>
      </c>
      <c r="H12" s="12" t="e">
        <f>Satellite_Selection!F10/SUM(Core_Allocation!D10,Core_Allocation!D11,Core_Allocation!D12,Core_Allocation!#REF!,Bond_Allocation!D8,Bond_Allocation!#REF!,Satellite_Selection!F10,Satellite_Selection!F11,Satellite_Selection!F12)</f>
        <v>#REF!</v>
      </c>
      <c r="I12" s="13">
        <f>Satellite_Selection!F10</f>
        <v>1260000</v>
      </c>
      <c r="J12" s="13">
        <f t="shared" si="2"/>
        <v>1130039.7</v>
      </c>
      <c r="K12" t="str">
        <f t="shared" si="3"/>
        <v>매수 ₩1,130,040</v>
      </c>
    </row>
    <row r="13" spans="1:11" x14ac:dyDescent="0.6">
      <c r="A13" s="7" t="s">
        <v>51</v>
      </c>
      <c r="E13" s="14">
        <f>SUM(E6:E12)</f>
        <v>3243282</v>
      </c>
      <c r="F13" s="17">
        <f>SUM(F6:F12)</f>
        <v>1</v>
      </c>
      <c r="I13" s="14" t="e">
        <f>SUM(I6:I12)</f>
        <v>#REF!</v>
      </c>
    </row>
    <row r="16" spans="1:11" x14ac:dyDescent="0.6">
      <c r="A16" s="5" t="s">
        <v>74</v>
      </c>
    </row>
    <row r="17" spans="1:6" x14ac:dyDescent="0.6">
      <c r="A17" s="1" t="s">
        <v>75</v>
      </c>
      <c r="B17" s="1" t="s">
        <v>26</v>
      </c>
      <c r="C17" s="1" t="s">
        <v>76</v>
      </c>
      <c r="D17" s="1" t="s">
        <v>77</v>
      </c>
      <c r="E17" s="1" t="s">
        <v>78</v>
      </c>
      <c r="F17" s="1" t="s">
        <v>79</v>
      </c>
    </row>
  </sheetData>
  <phoneticPr fontId="7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5"/>
  <sheetViews>
    <sheetView workbookViewId="0"/>
  </sheetViews>
  <sheetFormatPr defaultRowHeight="16.899999999999999" x14ac:dyDescent="0.6"/>
  <cols>
    <col min="1" max="7" width="13" customWidth="1"/>
  </cols>
  <sheetData>
    <row r="1" spans="1:7" ht="20.65" x14ac:dyDescent="0.7">
      <c r="A1" s="6" t="s">
        <v>80</v>
      </c>
    </row>
    <row r="3" spans="1:7" x14ac:dyDescent="0.6">
      <c r="A3" s="1" t="s">
        <v>65</v>
      </c>
      <c r="B3" s="1" t="s">
        <v>81</v>
      </c>
      <c r="C3" s="1" t="s">
        <v>82</v>
      </c>
      <c r="D3" s="1" t="s">
        <v>83</v>
      </c>
      <c r="E3" s="1" t="s">
        <v>84</v>
      </c>
      <c r="F3" s="1" t="s">
        <v>85</v>
      </c>
      <c r="G3" s="1" t="s">
        <v>10</v>
      </c>
    </row>
    <row r="4" spans="1:7" x14ac:dyDescent="0.6">
      <c r="A4" t="s">
        <v>66</v>
      </c>
      <c r="B4" s="4">
        <v>30000000</v>
      </c>
      <c r="C4" t="s">
        <v>86</v>
      </c>
      <c r="D4" t="s">
        <v>87</v>
      </c>
      <c r="E4" s="11" t="s">
        <v>88</v>
      </c>
      <c r="F4" s="11" t="s">
        <v>88</v>
      </c>
      <c r="G4" s="11" t="s">
        <v>87</v>
      </c>
    </row>
    <row r="5" spans="1:7" x14ac:dyDescent="0.6">
      <c r="A5" t="s">
        <v>89</v>
      </c>
      <c r="B5" s="13">
        <f>Rebalancing!E13</f>
        <v>3243282</v>
      </c>
      <c r="C5" s="12">
        <f>(B5-B4)/B4</f>
        <v>-0.89189059999999998</v>
      </c>
      <c r="D5" s="12">
        <f>(B5-B$4)/B$4</f>
        <v>-0.89189059999999998</v>
      </c>
      <c r="E5" s="12">
        <f>Asset_Allocation!B4/100</f>
        <v>0.8</v>
      </c>
      <c r="F5" s="12">
        <f>Asset_Allocation!B14/100</f>
        <v>0.5</v>
      </c>
      <c r="G5" s="12">
        <v>2.5000000000000001E-2</v>
      </c>
    </row>
  </sheetData>
  <phoneticPr fontId="7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4"/>
  <sheetViews>
    <sheetView workbookViewId="0">
      <selection activeCell="B2" sqref="B2"/>
    </sheetView>
  </sheetViews>
  <sheetFormatPr defaultRowHeight="16.899999999999999" x14ac:dyDescent="0.6"/>
  <cols>
    <col min="1" max="1" width="15" customWidth="1"/>
    <col min="2" max="2" width="18" customWidth="1"/>
    <col min="3" max="4" width="12" customWidth="1"/>
  </cols>
  <sheetData>
    <row r="1" spans="1:3" ht="24.75" x14ac:dyDescent="0.85">
      <c r="A1" s="18" t="s">
        <v>90</v>
      </c>
    </row>
    <row r="2" spans="1:3" x14ac:dyDescent="0.6">
      <c r="A2" t="s">
        <v>91</v>
      </c>
      <c r="B2" s="23">
        <f>Rebalancing!B2</f>
        <v>45965</v>
      </c>
    </row>
    <row r="4" spans="1:3" ht="19.149999999999999" x14ac:dyDescent="0.7">
      <c r="A4" s="19" t="s">
        <v>92</v>
      </c>
    </row>
    <row r="5" spans="1:3" x14ac:dyDescent="0.6">
      <c r="A5" t="s">
        <v>44</v>
      </c>
      <c r="B5" s="20">
        <f>Rebalancing!E13</f>
        <v>3243282</v>
      </c>
    </row>
    <row r="6" spans="1:3" x14ac:dyDescent="0.6">
      <c r="A6" t="s">
        <v>93</v>
      </c>
      <c r="B6" s="12">
        <f>Performance!C5</f>
        <v>-0.89189059999999998</v>
      </c>
    </row>
    <row r="7" spans="1:3" x14ac:dyDescent="0.6">
      <c r="A7" t="s">
        <v>94</v>
      </c>
      <c r="B7" s="12">
        <f>Performance!D5</f>
        <v>-0.89189059999999998</v>
      </c>
    </row>
    <row r="9" spans="1:3" ht="19.149999999999999" x14ac:dyDescent="0.7">
      <c r="A9" s="19" t="s">
        <v>95</v>
      </c>
    </row>
    <row r="10" spans="1:3" x14ac:dyDescent="0.6">
      <c r="A10" t="s">
        <v>96</v>
      </c>
      <c r="B10" s="21">
        <f>SUMIFS(Rebalancing!E:E,Rebalancing!A:A,"S&amp;P500")+SUMIFS(Rebalancing!E:E,Rebalancing!A:A,"KOSPI")+SUMIFS(Rebalancing!E:E,Rebalancing!A:A,"CSI300")+SUMIFS(Rebalancing!E:E,Rebalancing!A:A,"Europe")+SUMIFS(Rebalancing!E:E,Rebalancing!A:A,"Apple")+SUMIFS(Rebalancing!E:E,Rebalancing!A:A,"Tesla")+SUMIFS(Rebalancing!E:E,Rebalancing!A:A,"Exxon")</f>
        <v>68651.7</v>
      </c>
      <c r="C10" s="12">
        <f>B10/B5</f>
        <v>2.1167354550113125E-2</v>
      </c>
    </row>
    <row r="11" spans="1:3" x14ac:dyDescent="0.6">
      <c r="A11" t="s">
        <v>97</v>
      </c>
      <c r="B11" s="21">
        <f>SUMIFS(Rebalancing!E:E,Rebalancing!A:A,"미국채")+SUMIFS(Rebalancing!E:E,Rebalancing!A:A,"한국채")</f>
        <v>0</v>
      </c>
      <c r="C11" s="12">
        <f>B11/B5</f>
        <v>0</v>
      </c>
    </row>
    <row r="13" spans="1:3" x14ac:dyDescent="0.6">
      <c r="A13" t="s">
        <v>98</v>
      </c>
      <c r="B13" s="21">
        <f>SUMIFS(Rebalancing!E:E,Rebalancing!A:A,"S&amp;P500")+SUMIFS(Rebalancing!E:E,Rebalancing!A:A,"KOSPI")+SUMIFS(Rebalancing!E:E,Rebalancing!A:A,"CSI300")+SUMIFS(Rebalancing!E:E,Rebalancing!A:A,"Europe")</f>
        <v>68651.7</v>
      </c>
      <c r="C13" s="12">
        <f>B13/B5</f>
        <v>2.1167354550113125E-2</v>
      </c>
    </row>
    <row r="14" spans="1:3" x14ac:dyDescent="0.6">
      <c r="A14" t="s">
        <v>99</v>
      </c>
      <c r="B14" s="21">
        <f>SUMIFS(Rebalancing!E:E,Rebalancing!A:A,"Apple")+SUMIFS(Rebalancing!E:E,Rebalancing!A:A,"Tesla")+SUMIFS(Rebalancing!E:E,Rebalancing!A:A,"Exxon")</f>
        <v>0</v>
      </c>
      <c r="C14" s="12">
        <f>B14/B5</f>
        <v>0</v>
      </c>
    </row>
    <row r="16" spans="1:3" ht="19.149999999999999" x14ac:dyDescent="0.7">
      <c r="A16" s="19" t="s">
        <v>100</v>
      </c>
    </row>
    <row r="17" spans="1:4" x14ac:dyDescent="0.6">
      <c r="A17" s="1" t="s">
        <v>101</v>
      </c>
      <c r="B17" s="1" t="s">
        <v>69</v>
      </c>
      <c r="C17" s="1" t="s">
        <v>61</v>
      </c>
      <c r="D17" s="1" t="s">
        <v>102</v>
      </c>
    </row>
    <row r="18" spans="1:4" x14ac:dyDescent="0.6">
      <c r="A18" t="str">
        <f>Rebalancing!A6</f>
        <v>S&amp;P500</v>
      </c>
      <c r="B18" s="13">
        <f>Rebalancing!E6</f>
        <v>68651.7</v>
      </c>
      <c r="C18" s="12">
        <f>Rebalancing!F6</f>
        <v>2.1167354550113125E-2</v>
      </c>
      <c r="D18" t="s">
        <v>86</v>
      </c>
    </row>
    <row r="19" spans="1:4" x14ac:dyDescent="0.6">
      <c r="A19" t="str">
        <f>Rebalancing!A7</f>
        <v>KOSPI200</v>
      </c>
      <c r="B19" s="13">
        <f>Rebalancing!E7</f>
        <v>218400</v>
      </c>
      <c r="C19" s="12">
        <f>Rebalancing!F7</f>
        <v>6.7339195296616208E-2</v>
      </c>
      <c r="D19" t="s">
        <v>86</v>
      </c>
    </row>
    <row r="20" spans="1:4" x14ac:dyDescent="0.6">
      <c r="A20" t="str">
        <f>Rebalancing!A8</f>
        <v>TIGER 차이나테크 TOP10</v>
      </c>
      <c r="B20" s="13">
        <f>Rebalancing!E8</f>
        <v>1237000</v>
      </c>
      <c r="C20" s="12">
        <f>Rebalancing!F8</f>
        <v>0.38140377555821542</v>
      </c>
      <c r="D20" t="s">
        <v>86</v>
      </c>
    </row>
    <row r="21" spans="1:4" x14ac:dyDescent="0.6">
      <c r="A21" t="str">
        <f>Rebalancing!A9</f>
        <v>미국채 20년</v>
      </c>
      <c r="B21" s="13">
        <f>Rebalancing!E9</f>
        <v>4353</v>
      </c>
      <c r="C21" s="12">
        <f>Rebalancing!F9</f>
        <v>1.3421589612004137E-3</v>
      </c>
      <c r="D21" t="s">
        <v>86</v>
      </c>
    </row>
    <row r="22" spans="1:4" x14ac:dyDescent="0.6">
      <c r="A22" t="str">
        <f>Rebalancing!A10</f>
        <v>Frontline Plc</v>
      </c>
      <c r="B22" s="13">
        <f>Rebalancing!E10</f>
        <v>779605</v>
      </c>
      <c r="C22" s="12">
        <f>Rebalancing!F10</f>
        <v>0.24037533584806994</v>
      </c>
      <c r="D22" t="s">
        <v>86</v>
      </c>
    </row>
    <row r="23" spans="1:4" x14ac:dyDescent="0.6">
      <c r="A23" t="str">
        <f>Rebalancing!A11</f>
        <v>Antero Resources Corp</v>
      </c>
      <c r="B23" s="13">
        <f>Rebalancing!E11</f>
        <v>805312</v>
      </c>
      <c r="C23" s="12">
        <f>Rebalancing!F11</f>
        <v>0.2483015661296181</v>
      </c>
      <c r="D23" t="s">
        <v>86</v>
      </c>
    </row>
    <row r="24" spans="1:4" x14ac:dyDescent="0.6">
      <c r="A24" t="str">
        <f>Rebalancing!A12</f>
        <v>금</v>
      </c>
      <c r="B24" s="13">
        <f>Rebalancing!E12</f>
        <v>129960.3</v>
      </c>
      <c r="C24" s="12">
        <f>Rebalancing!F12</f>
        <v>4.0070613656166806E-2</v>
      </c>
      <c r="D24" t="s">
        <v>86</v>
      </c>
    </row>
  </sheetData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Price_Data</vt:lpstr>
      <vt:lpstr>Momentum_Calc</vt:lpstr>
      <vt:lpstr>Asset_Allocation</vt:lpstr>
      <vt:lpstr>Core_Allocation</vt:lpstr>
      <vt:lpstr>Bond_Allocation</vt:lpstr>
      <vt:lpstr>Satellite_Selection</vt:lpstr>
      <vt:lpstr>Rebalancing</vt:lpstr>
      <vt:lpstr>Performance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김주희</cp:lastModifiedBy>
  <dcterms:created xsi:type="dcterms:W3CDTF">2025-11-03T12:11:40Z</dcterms:created>
  <dcterms:modified xsi:type="dcterms:W3CDTF">2026-01-03T06:38:42Z</dcterms:modified>
</cp:coreProperties>
</file>